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xiaozhong/Downloads/日报及月报/"/>
    </mc:Choice>
  </mc:AlternateContent>
  <xr:revisionPtr revIDLastSave="0" documentId="13_ncr:1_{D35CAC67-C001-E443-8AC0-FD99D7734531}" xr6:coauthVersionLast="47" xr6:coauthVersionMax="47" xr10:uidLastSave="{00000000-0000-0000-0000-000000000000}"/>
  <bookViews>
    <workbookView xWindow="3900" yWindow="500" windowWidth="27040" windowHeight="16400" activeTab="1" xr2:uid="{00000000-000D-0000-FFFF-FFFF00000000}"/>
  </bookViews>
  <sheets>
    <sheet name="2025年日报" sheetId="1" state="hidden" r:id="rId1"/>
    <sheet name="2026年日报" sheetId="2" r:id="rId2"/>
    <sheet name="2025月报" sheetId="3" state="hidden" r:id="rId3"/>
    <sheet name="月报(2026)" sheetId="4" r:id="rId4"/>
    <sheet name="旧表" sheetId="5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" i="5" l="1"/>
  <c r="O50" i="4"/>
  <c r="O49" i="4"/>
  <c r="O48" i="4"/>
  <c r="O47" i="4"/>
  <c r="O46" i="4"/>
  <c r="O45" i="4"/>
  <c r="O44" i="4"/>
  <c r="O43" i="4"/>
  <c r="O42" i="4"/>
  <c r="O41" i="4"/>
  <c r="O40" i="4"/>
  <c r="O39" i="4"/>
  <c r="O38" i="4"/>
  <c r="O37" i="4"/>
  <c r="O36" i="4"/>
  <c r="O35" i="4"/>
  <c r="O34" i="4"/>
  <c r="O33" i="4"/>
  <c r="O32" i="4"/>
  <c r="O31" i="4"/>
  <c r="O30" i="4"/>
  <c r="O29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T14" i="4"/>
  <c r="V14" i="4" s="1"/>
  <c r="O14" i="4"/>
  <c r="T13" i="4"/>
  <c r="O13" i="4"/>
  <c r="T12" i="4"/>
  <c r="O12" i="4"/>
  <c r="T11" i="4"/>
  <c r="O11" i="4"/>
  <c r="T10" i="4"/>
  <c r="V10" i="4" s="1"/>
  <c r="O10" i="4"/>
  <c r="T9" i="4"/>
  <c r="O9" i="4"/>
  <c r="T8" i="4"/>
  <c r="O8" i="4"/>
  <c r="T7" i="4"/>
  <c r="O7" i="4"/>
  <c r="T6" i="4"/>
  <c r="V6" i="4" s="1"/>
  <c r="O6" i="4"/>
  <c r="T5" i="4"/>
  <c r="V5" i="4" s="1"/>
  <c r="O5" i="4"/>
  <c r="T4" i="4"/>
  <c r="O4" i="4"/>
  <c r="T3" i="4"/>
  <c r="V3" i="4" s="1"/>
  <c r="O3" i="4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3" i="3"/>
  <c r="O32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T14" i="3"/>
  <c r="O14" i="3"/>
  <c r="T13" i="3"/>
  <c r="O13" i="3"/>
  <c r="T12" i="3"/>
  <c r="O12" i="3"/>
  <c r="T11" i="3"/>
  <c r="O11" i="3"/>
  <c r="T10" i="3"/>
  <c r="O10" i="3"/>
  <c r="T8" i="3"/>
  <c r="O8" i="3"/>
  <c r="T7" i="3"/>
  <c r="O7" i="3"/>
  <c r="T6" i="3"/>
  <c r="O6" i="3"/>
  <c r="T5" i="3"/>
  <c r="O5" i="3"/>
  <c r="T4" i="3"/>
  <c r="O4" i="3"/>
  <c r="T3" i="3"/>
  <c r="O3" i="3"/>
  <c r="H14" i="2"/>
  <c r="K13" i="2"/>
  <c r="M6" i="2" s="1"/>
  <c r="H13" i="2"/>
  <c r="K12" i="2"/>
  <c r="H12" i="2"/>
  <c r="K11" i="2"/>
  <c r="H11" i="2"/>
  <c r="K10" i="2"/>
  <c r="H10" i="2"/>
  <c r="K9" i="2"/>
  <c r="H9" i="2"/>
  <c r="K8" i="2"/>
  <c r="H8" i="2"/>
  <c r="K7" i="2"/>
  <c r="H7" i="2"/>
  <c r="K6" i="2"/>
  <c r="H6" i="2"/>
  <c r="K5" i="2"/>
  <c r="H5" i="2"/>
  <c r="K4" i="2"/>
  <c r="H4" i="2"/>
  <c r="K3" i="2"/>
  <c r="H3" i="2"/>
  <c r="K13" i="1"/>
  <c r="M6" i="1" s="1"/>
  <c r="H13" i="1"/>
  <c r="K12" i="1"/>
  <c r="M5" i="1" s="1"/>
  <c r="H12" i="1"/>
  <c r="K11" i="1"/>
  <c r="H11" i="1"/>
  <c r="K10" i="1"/>
  <c r="H10" i="1"/>
  <c r="K9" i="1"/>
  <c r="H9" i="1"/>
  <c r="K8" i="1"/>
  <c r="H8" i="1"/>
  <c r="K7" i="1"/>
  <c r="H7" i="1"/>
  <c r="K6" i="1"/>
  <c r="H6" i="1"/>
  <c r="K5" i="1"/>
  <c r="H5" i="1"/>
  <c r="K4" i="1"/>
  <c r="H4" i="1"/>
  <c r="K3" i="1"/>
  <c r="H3" i="1"/>
  <c r="K2" i="1"/>
  <c r="H2" i="1"/>
  <c r="H1" i="1" l="1"/>
  <c r="M4" i="2"/>
  <c r="V11" i="4"/>
  <c r="M3" i="1"/>
  <c r="K1" i="1"/>
  <c r="H2" i="2"/>
  <c r="M2" i="1"/>
  <c r="M4" i="1"/>
  <c r="M3" i="2"/>
  <c r="M5" i="2"/>
  <c r="V7" i="4"/>
  <c r="T2" i="3"/>
  <c r="T2" i="4"/>
  <c r="K2" i="2"/>
</calcChain>
</file>

<file path=xl/sharedStrings.xml><?xml version="1.0" encoding="utf-8"?>
<sst xmlns="http://schemas.openxmlformats.org/spreadsheetml/2006/main" count="947" uniqueCount="193">
  <si>
    <t>区域</t>
  </si>
  <si>
    <t>中心</t>
  </si>
  <si>
    <t>是否签到</t>
  </si>
  <si>
    <t>2025年</t>
  </si>
  <si>
    <t>特殊情况</t>
  </si>
  <si>
    <t>中心总数</t>
  </si>
  <si>
    <t>中心总数(排除新中心）</t>
  </si>
  <si>
    <t>华南一区</t>
  </si>
  <si>
    <t>深圳南山南油中心</t>
  </si>
  <si>
    <t>是</t>
  </si>
  <si>
    <t>累计未发1次</t>
  </si>
  <si>
    <t>黄玲累计未发4次，迟发2次</t>
  </si>
  <si>
    <t>华南</t>
  </si>
  <si>
    <t>深圳龙岗龙城中心</t>
  </si>
  <si>
    <t>累计未发6次，迟发3次</t>
  </si>
  <si>
    <t>龙城主任郑希9.16离职，待新主任上岗</t>
  </si>
  <si>
    <t>华南二区</t>
  </si>
  <si>
    <t>华东</t>
  </si>
  <si>
    <t>深圳宝安中心</t>
  </si>
  <si>
    <t>累计未发4次，迟发2次</t>
  </si>
  <si>
    <t>华南三区</t>
  </si>
  <si>
    <t>华北</t>
  </si>
  <si>
    <t>深圳光明中心</t>
  </si>
  <si>
    <t>累计未发7次，迟发3次</t>
  </si>
  <si>
    <t>（换主任前）累计未发2次</t>
  </si>
  <si>
    <t>华南四区</t>
  </si>
  <si>
    <t>华中</t>
  </si>
  <si>
    <t>深圳福田中心</t>
  </si>
  <si>
    <t>累计未发3次</t>
  </si>
  <si>
    <t>华东一区</t>
  </si>
  <si>
    <t>西南</t>
  </si>
  <si>
    <t>深圳坂田杨美中心</t>
  </si>
  <si>
    <t>累计未发1次，迟发7次</t>
  </si>
  <si>
    <t>赵鑫8.2病假1次，迟发不累计</t>
  </si>
  <si>
    <t>华东二区</t>
  </si>
  <si>
    <t>深圳龙华民治中心</t>
  </si>
  <si>
    <t>累计未发2次，迟发6次</t>
  </si>
  <si>
    <t>华东三区</t>
  </si>
  <si>
    <t>泉州晋江中心</t>
  </si>
  <si>
    <t>累计迟发6次</t>
  </si>
  <si>
    <t>华东四区</t>
  </si>
  <si>
    <t>广州盈丰中心</t>
  </si>
  <si>
    <t>累计未发2次，迟发4次</t>
  </si>
  <si>
    <t>华北一区</t>
  </si>
  <si>
    <t>广州岗顶中心</t>
  </si>
  <si>
    <t>华北二区</t>
  </si>
  <si>
    <t>广州白云中心</t>
  </si>
  <si>
    <t>累计未发8次，迟发1次</t>
  </si>
  <si>
    <t>赵莉娜累计未发4次</t>
  </si>
  <si>
    <t>华中区</t>
  </si>
  <si>
    <t>佛山禅城中心</t>
  </si>
  <si>
    <t>西南区</t>
  </si>
  <si>
    <t>广州米声中心</t>
  </si>
  <si>
    <t>累计未发2次</t>
  </si>
  <si>
    <t>广州番禺中心</t>
  </si>
  <si>
    <t>广州黄埔中心</t>
  </si>
  <si>
    <t>东莞南城中心</t>
  </si>
  <si>
    <t>累计未发9次，迟发4次</t>
  </si>
  <si>
    <t>上海李子园中心</t>
  </si>
  <si>
    <t>累计迟发1次</t>
  </si>
  <si>
    <t>上海宝山中心</t>
  </si>
  <si>
    <t>上海松江中心</t>
  </si>
  <si>
    <t>累计未发4次，迟发7次</t>
  </si>
  <si>
    <t>上海香樟园中心</t>
  </si>
  <si>
    <t xml:space="preserve">
</t>
  </si>
  <si>
    <t>苏州中心</t>
  </si>
  <si>
    <t>累计未发3次，迟发2次</t>
  </si>
  <si>
    <t>上海浦东中心</t>
  </si>
  <si>
    <t>无锡中心</t>
  </si>
  <si>
    <t>(换主任前)累计未发2次</t>
  </si>
  <si>
    <t>常州中心</t>
  </si>
  <si>
    <t>南京新街口中心</t>
  </si>
  <si>
    <t>累计未发7次，迟发1次</t>
  </si>
  <si>
    <t>（换主任前)累计未发2次</t>
  </si>
  <si>
    <t>南京软件谷中心</t>
  </si>
  <si>
    <t>累计未发4次，迟发8次</t>
  </si>
  <si>
    <t>南京浦口中心</t>
  </si>
  <si>
    <t>累计未发1次，迟发1次</t>
  </si>
  <si>
    <t>杭州花园岗中心</t>
  </si>
  <si>
    <t>杭州上城中心</t>
  </si>
  <si>
    <t>累计未发5次，迟发1次</t>
  </si>
  <si>
    <t>杭州滨江中心</t>
  </si>
  <si>
    <t>(蔡研研)累计未发2次，迟发1次</t>
  </si>
  <si>
    <t>宁波中心</t>
  </si>
  <si>
    <t>累计未发3次，迟发4次</t>
  </si>
  <si>
    <t>合肥蜀山中心</t>
  </si>
  <si>
    <t>累计未发1次，迟发4次</t>
  </si>
  <si>
    <t>北京双桥中心</t>
  </si>
  <si>
    <t>累计未发1次，迟发2次</t>
  </si>
  <si>
    <t>双桥交接期间未发不累计</t>
  </si>
  <si>
    <t>北京方庄中心</t>
  </si>
  <si>
    <t>郑州金水中心</t>
  </si>
  <si>
    <t>（换主任前)累计未发1次，迟发1次</t>
  </si>
  <si>
    <t>郑州二七中心</t>
  </si>
  <si>
    <t>累计未发7次，迟发2次</t>
  </si>
  <si>
    <t>天津中心</t>
  </si>
  <si>
    <t>西安莲湖中心</t>
  </si>
  <si>
    <t>西安曲江中心</t>
  </si>
  <si>
    <t>济南省体中心</t>
  </si>
  <si>
    <t>北京通州中心</t>
  </si>
  <si>
    <t>李紫斌累计未发1次，迟发1次</t>
  </si>
  <si>
    <t>北京望京中心</t>
  </si>
  <si>
    <t>北京海淀中心</t>
  </si>
  <si>
    <t>累计未发5次</t>
  </si>
  <si>
    <t>北京万柳中心</t>
  </si>
  <si>
    <t>累计未发2次，迟发1次</t>
  </si>
  <si>
    <t>石家庄中心</t>
  </si>
  <si>
    <t>武汉汉阳中心</t>
  </si>
  <si>
    <t>（换主任前）累计迟发1次</t>
  </si>
  <si>
    <t>武汉光谷中心</t>
  </si>
  <si>
    <t>武汉香港路中心</t>
  </si>
  <si>
    <t>长沙汇金中心</t>
  </si>
  <si>
    <t>南昌红谷滩中心</t>
  </si>
  <si>
    <t>累计未发8次</t>
  </si>
  <si>
    <t>成都高新中心</t>
  </si>
  <si>
    <t>累计未发3次，迟发1次</t>
  </si>
  <si>
    <t>刘艳累计未发4次</t>
  </si>
  <si>
    <t>成都武侯中心</t>
  </si>
  <si>
    <t>累计未发10次，迟发3次</t>
  </si>
  <si>
    <t>(换主任前)累计迟发1次</t>
  </si>
  <si>
    <t>重庆渝北中心</t>
  </si>
  <si>
    <t>累计未发6次，迟发5次</t>
  </si>
  <si>
    <t>更新日期</t>
  </si>
  <si>
    <t>2026年</t>
  </si>
  <si>
    <t>累计未发4次</t>
  </si>
  <si>
    <t>累计未发1次，迟发3次</t>
  </si>
  <si>
    <t>累计未发4次，迟发1次</t>
  </si>
  <si>
    <t>累计迟发2次</t>
  </si>
  <si>
    <t>累计未发3次，迟发3次</t>
  </si>
  <si>
    <t>请病假4天</t>
  </si>
  <si>
    <t>宁波鄞州中心</t>
  </si>
  <si>
    <t>西安未央中心</t>
  </si>
  <si>
    <t>北京房山中心</t>
  </si>
  <si>
    <t>石家庄桥西中心</t>
  </si>
  <si>
    <t>厦门思明中心</t>
  </si>
  <si>
    <t>2025未填写月报次数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</si>
  <si>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</si>
  <si>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</si>
  <si>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</si>
  <si>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</si>
  <si>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</si>
  <si>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</si>
  <si>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</si>
  <si>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</si>
  <si>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</si>
  <si>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</si>
  <si>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</si>
  <si>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</si>
  <si>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总计</t>
  </si>
  <si>
    <t>佛山顺德大良中心</t>
  </si>
  <si>
    <t>合肥包河中心</t>
  </si>
  <si>
    <t>华南分公司</t>
  </si>
  <si>
    <t>华东分公司</t>
  </si>
  <si>
    <t>华北分公司</t>
  </si>
  <si>
    <t>是否提交日报</t>
  </si>
  <si>
    <t>2023年</t>
  </si>
  <si>
    <t>2024年</t>
  </si>
  <si>
    <t>一区</t>
  </si>
  <si>
    <t>深圳杨美中心</t>
  </si>
  <si>
    <t>二区</t>
  </si>
  <si>
    <t>迟发1次</t>
  </si>
  <si>
    <t>三区</t>
  </si>
  <si>
    <t>深圳龙城中心</t>
  </si>
  <si>
    <t>(换主任前)未发1次；累计未发5次，迟发9次</t>
  </si>
  <si>
    <t>四区</t>
  </si>
  <si>
    <t>深圳民治中心</t>
  </si>
  <si>
    <t>累计未发5次，迟发2次</t>
  </si>
  <si>
    <t>五区</t>
  </si>
  <si>
    <t>深圳蛇口中心</t>
  </si>
  <si>
    <t>未发1次</t>
  </si>
  <si>
    <t>六区</t>
  </si>
  <si>
    <t>深圳云里中心</t>
  </si>
  <si>
    <t>累计未发7次</t>
  </si>
  <si>
    <t>深圳南油中心</t>
  </si>
  <si>
    <t>累计未发5次，迟发6次</t>
  </si>
  <si>
    <t>（换主任前）未发2次，迟发1次；累计未发8次，迟发1次</t>
  </si>
  <si>
    <t>累计未发1次;(换主任前)未发1次，迟发1次;（换主任前）未发6次，迟发6次</t>
  </si>
  <si>
    <t>累计未发1次; (换主任前)累计未发3次，迟发3次</t>
  </si>
  <si>
    <t>(换主任前)累计未发5次，迟发12次；累计未发2次</t>
  </si>
  <si>
    <t>累计未发6次，迟发2次</t>
  </si>
  <si>
    <t>累计未发1次，迟发5次</t>
  </si>
  <si>
    <t>累计未发10次</t>
  </si>
  <si>
    <t>(换主任前)未发2次，累计未发2次</t>
  </si>
  <si>
    <t>未发1次，迟发1次</t>
  </si>
  <si>
    <t>累计迟发1次;（换主任前）累计未发22次，迟发14次</t>
  </si>
  <si>
    <t>累计迟发3次</t>
  </si>
  <si>
    <t>累计未发5次，迟发4次；(换主任1前)迟发3次，未发1次；(换主任2前)累计未发2次，迟发1次</t>
  </si>
  <si>
    <t>累计未发1次；(换主任前)累计未发2次，累计迟发5次</t>
  </si>
  <si>
    <t>累计未发2次，迟发3次</t>
  </si>
  <si>
    <t>深圳罗湖中心</t>
  </si>
  <si>
    <t>宁波江北中心</t>
  </si>
  <si>
    <t>北京昌平中心</t>
  </si>
  <si>
    <t>石家庄裕华中心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</si>
</sst>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theme="1"/>
      <name val="等线"/>
      <family val="2"/>
      <charset val="134"/>
      <scheme val="minor"/>
    </font>
    <font>
      <b/>
      <sz val="12"/>
      <name val="等线"/>
      <family val="4"/>
      <charset val="134"/>
    </font>
    <font>
      <b/>
      <sz val="11"/>
      <color rgb="FF000000"/>
      <name val="等线"/>
      <family val="4"/>
      <charset val="134"/>
    </font>
    <font>
      <sz val="11"/>
      <color rgb="FF000000"/>
      <name val="等线"/>
      <family val="4"/>
      <charset val="134"/>
    </font>
    <font>
      <sz val="9"/>
      <name val="微软雅黑 Light"/>
      <family val="2"/>
      <charset val="134"/>
    </font>
    <font>
      <sz val="9"/>
      <name val="等线"/>
      <family val="4"/>
      <charset val="134"/>
    </font>
    <font>
      <sz val="9"/>
      <name val="等线"/>
      <family val="4"/>
      <charset val="134"/>
    </font>
    <font>
      <sz val="9"/>
      <color rgb="FF000000"/>
      <name val="等线"/>
      <family val="4"/>
      <charset val="134"/>
    </font>
    <font>
      <sz val="9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theme="1"/>
      <name val="等线"/>
      <family val="2"/>
      <charset val="134"/>
      <scheme val="minor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9"/>
      <name val="宋体"/>
      <family val="3"/>
      <charset val="134"/>
    </font>
    <font>
      <sz val="9"/>
      <name val="等线"/>
      <family val="2"/>
      <charset val="134"/>
      <scheme val="minor"/>
    </font>
    <font>
      <sz val="9"/>
      <color rgb="FF000000"/>
      <name val="微软雅黑 Light"/>
      <family val="2"/>
      <charset val="134"/>
    </font>
    <font>
      <sz val="9"/>
      <color rgb="FF00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none"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 patternType="none"/>
    </fill>
    <fill>
      <patternFill patternType="none"/>
    </fill>
  </fills>
  <borders count="19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</borders>
  <cellStyleXfs count="1">
    <xf numFmtId="0" fontId="0" fillId="7" borderId="7">
      <alignment vertical="center"/>
    </xf>
  </cellStyleXfs>
  <cellXfs count="61">
    <xf numFmtId="0" fontId="0" fillId="0" borderId="0" xfId="0" applyFill="1" applyBorder="1">
      <alignment vertical="center"/>
    </xf>
    <xf numFmtId="0" fontId="2" fillId="3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2" fillId="3" borderId="7" xfId="0" applyFont="1" applyFill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3" fillId="2" borderId="7" xfId="0" applyFont="1" applyFill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9" fillId="2" borderId="7" xfId="0" applyFont="1" applyFill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1" fillId="2" borderId="7" xfId="0" applyFont="1" applyFill="1">
      <alignment vertical="center"/>
    </xf>
    <xf numFmtId="0" fontId="9" fillId="2" borderId="7" xfId="0" applyFont="1" applyFill="1">
      <alignment vertical="center"/>
    </xf>
    <xf numFmtId="0" fontId="12" fillId="2" borderId="7" xfId="0" applyFont="1" applyFill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4" fillId="6" borderId="15" xfId="0" applyFont="1" applyFill="1" applyBorder="1" applyAlignment="1">
      <alignment horizontal="center" vertical="center"/>
    </xf>
    <xf numFmtId="0" fontId="13" fillId="2" borderId="7" xfId="0" applyFont="1" applyFill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 wrapText="1"/>
    </xf>
    <xf numFmtId="0" fontId="14" fillId="2" borderId="13" xfId="0" applyFont="1" applyFill="1" applyBorder="1" applyAlignment="1">
      <alignment horizontal="center" vertical="center"/>
    </xf>
    <xf numFmtId="0" fontId="4" fillId="7" borderId="13" xfId="0" applyFont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14" fillId="2" borderId="17" xfId="0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4" fillId="6" borderId="15" xfId="0" applyFont="1" applyFill="1" applyBorder="1" applyAlignment="1">
      <alignment horizontal="center" vertical="center"/>
    </xf>
    <xf numFmtId="0" fontId="13" fillId="2" borderId="0" xfId="0" applyFont="1" applyFill="1" applyBorder="1" applyAlignment="1">
      <alignment horizontal="center" vertical="center"/>
    </xf>
    <xf numFmtId="14" fontId="0" fillId="0" borderId="0" xfId="0" applyNumberFormat="1" applyFill="1" applyBorder="1">
      <alignment vertical="center"/>
    </xf>
    <xf numFmtId="0" fontId="0" fillId="0" borderId="0" xfId="0" applyFill="1" applyBorder="1" applyAlignment="1"/>
    <xf numFmtId="0" fontId="9" fillId="2" borderId="4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left" vertical="center"/>
    </xf>
    <xf numFmtId="0" fontId="0" fillId="0" borderId="1" xfId="0" applyFill="1" applyBorder="1" applyAlignment="1"/>
    <xf numFmtId="0" fontId="0" fillId="0" borderId="9" xfId="0" applyFill="1" applyBorder="1" applyAlignment="1"/>
    <xf numFmtId="0" fontId="16" fillId="0" borderId="14" xfId="0" applyFont="1" applyFill="1" applyBorder="1" applyAlignment="1">
      <alignment horizontal="center" vertical="center"/>
    </xf>
    <xf numFmtId="0" fontId="16" fillId="0" borderId="18" xfId="0" applyFont="1" applyFill="1" applyBorder="1" applyAlignment="1">
      <alignment horizontal="center" vertical="center"/>
    </xf>
    <xf numFmtId="0" fontId="17" fillId="0" borderId="18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2025年日报">
    <outlinePr summaryBelow="0" summaryRight="0"/>
  </sheetPr>
  <dimension ref="A1:M54"/>
  <sheetViews>
    <sheetView workbookViewId="0"/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3" ht="16.5" customHeight="1">
      <c r="A1" s="27" t="s">
        <v>0</v>
      </c>
      <c r="B1" s="28" t="s">
        <v>1</v>
      </c>
      <c r="C1" s="28" t="s">
        <v>2</v>
      </c>
      <c r="D1" s="29" t="s">
        <v>3</v>
      </c>
      <c r="E1" s="30" t="s">
        <v>4</v>
      </c>
      <c r="G1" s="22" t="s">
        <v>5</v>
      </c>
      <c r="H1" s="24">
        <f>SUM(H2:H109)</f>
        <v>53</v>
      </c>
      <c r="J1" s="22" t="s">
        <v>6</v>
      </c>
      <c r="K1" s="24">
        <f>SUM(K2:K109)</f>
        <v>53</v>
      </c>
    </row>
    <row r="2" spans="1:13" ht="16.5" customHeight="1">
      <c r="A2" s="31" t="s">
        <v>7</v>
      </c>
      <c r="B2" s="32" t="s">
        <v>8</v>
      </c>
      <c r="C2" s="32" t="s">
        <v>9</v>
      </c>
      <c r="D2" s="33" t="s">
        <v>10</v>
      </c>
      <c r="E2" s="29" t="s">
        <v>11</v>
      </c>
      <c r="G2" s="31" t="s">
        <v>7</v>
      </c>
      <c r="H2" s="23">
        <f t="shared" ref="H2:H13" si="0">COUNTIF($A:$A,$G2)</f>
        <v>5</v>
      </c>
      <c r="J2" s="31" t="s">
        <v>7</v>
      </c>
      <c r="K2" s="23">
        <f t="shared" ref="K2:K13" si="1">COUNTIFS($A:$A,$G2,$C:$C,"&lt;&gt;新中心")</f>
        <v>5</v>
      </c>
      <c r="L2" s="34" t="s">
        <v>12</v>
      </c>
      <c r="M2" s="35">
        <f>SUM(K2:K5)</f>
        <v>16</v>
      </c>
    </row>
    <row r="3" spans="1:13" ht="16.5" customHeight="1">
      <c r="A3" s="31" t="s">
        <v>7</v>
      </c>
      <c r="B3" s="32" t="s">
        <v>13</v>
      </c>
      <c r="C3" s="32" t="s">
        <v>9</v>
      </c>
      <c r="D3" s="36" t="s">
        <v>14</v>
      </c>
      <c r="E3" s="30" t="s">
        <v>15</v>
      </c>
      <c r="G3" s="31" t="s">
        <v>16</v>
      </c>
      <c r="H3" s="23">
        <f t="shared" si="0"/>
        <v>3</v>
      </c>
      <c r="J3" s="31" t="s">
        <v>16</v>
      </c>
      <c r="K3" s="23">
        <f t="shared" si="1"/>
        <v>3</v>
      </c>
      <c r="L3" s="34" t="s">
        <v>17</v>
      </c>
      <c r="M3" s="35">
        <f>SUM(K6:K9)</f>
        <v>16</v>
      </c>
    </row>
    <row r="4" spans="1:13" ht="16.5" customHeight="1">
      <c r="A4" s="37" t="s">
        <v>7</v>
      </c>
      <c r="B4" s="38" t="s">
        <v>18</v>
      </c>
      <c r="C4" s="38" t="s">
        <v>9</v>
      </c>
      <c r="D4" s="29" t="s">
        <v>19</v>
      </c>
      <c r="G4" s="31" t="s">
        <v>20</v>
      </c>
      <c r="H4" s="23">
        <f t="shared" si="0"/>
        <v>5</v>
      </c>
      <c r="J4" s="31" t="s">
        <v>20</v>
      </c>
      <c r="K4" s="23">
        <f t="shared" si="1"/>
        <v>5</v>
      </c>
      <c r="L4" s="34" t="s">
        <v>21</v>
      </c>
      <c r="M4" s="35">
        <f>SUM(K10:K11)</f>
        <v>13</v>
      </c>
    </row>
    <row r="5" spans="1:13" ht="16.5" customHeight="1">
      <c r="A5" s="37" t="s">
        <v>7</v>
      </c>
      <c r="B5" s="38" t="s">
        <v>22</v>
      </c>
      <c r="C5" s="38" t="s">
        <v>9</v>
      </c>
      <c r="D5" s="29" t="s">
        <v>23</v>
      </c>
      <c r="E5" s="30" t="s">
        <v>24</v>
      </c>
      <c r="G5" s="31" t="s">
        <v>25</v>
      </c>
      <c r="H5" s="23">
        <f t="shared" si="0"/>
        <v>3</v>
      </c>
      <c r="J5" s="31" t="s">
        <v>25</v>
      </c>
      <c r="K5" s="23">
        <f t="shared" si="1"/>
        <v>3</v>
      </c>
      <c r="L5" s="34" t="s">
        <v>26</v>
      </c>
      <c r="M5" s="35">
        <f>K12</f>
        <v>5</v>
      </c>
    </row>
    <row r="6" spans="1:13" ht="16.5" customHeight="1">
      <c r="A6" s="37" t="s">
        <v>7</v>
      </c>
      <c r="B6" s="38" t="s">
        <v>27</v>
      </c>
      <c r="C6" s="38" t="s">
        <v>9</v>
      </c>
      <c r="D6" s="33" t="s">
        <v>28</v>
      </c>
      <c r="G6" s="31" t="s">
        <v>29</v>
      </c>
      <c r="H6" s="23">
        <f t="shared" si="0"/>
        <v>5</v>
      </c>
      <c r="J6" s="31" t="s">
        <v>29</v>
      </c>
      <c r="K6" s="23">
        <f t="shared" si="1"/>
        <v>5</v>
      </c>
      <c r="L6" s="34" t="s">
        <v>30</v>
      </c>
      <c r="M6" s="35">
        <f>K13</f>
        <v>3</v>
      </c>
    </row>
    <row r="7" spans="1:13" ht="16.5" customHeight="1">
      <c r="A7" s="31" t="s">
        <v>16</v>
      </c>
      <c r="B7" s="32" t="s">
        <v>31</v>
      </c>
      <c r="C7" s="32" t="s">
        <v>9</v>
      </c>
      <c r="D7" s="29" t="s">
        <v>32</v>
      </c>
      <c r="E7" s="30" t="s">
        <v>33</v>
      </c>
      <c r="G7" s="31" t="s">
        <v>34</v>
      </c>
      <c r="H7" s="23">
        <f t="shared" si="0"/>
        <v>3</v>
      </c>
      <c r="J7" s="31" t="s">
        <v>34</v>
      </c>
      <c r="K7" s="23">
        <f t="shared" si="1"/>
        <v>3</v>
      </c>
    </row>
    <row r="8" spans="1:13" ht="16.5" customHeight="1">
      <c r="A8" s="31" t="s">
        <v>16</v>
      </c>
      <c r="B8" s="32" t="s">
        <v>35</v>
      </c>
      <c r="C8" s="32" t="s">
        <v>9</v>
      </c>
      <c r="D8" s="29" t="s">
        <v>36</v>
      </c>
      <c r="G8" s="31" t="s">
        <v>37</v>
      </c>
      <c r="H8" s="23">
        <f t="shared" si="0"/>
        <v>3</v>
      </c>
      <c r="J8" s="31" t="s">
        <v>37</v>
      </c>
      <c r="K8" s="23">
        <f t="shared" si="1"/>
        <v>3</v>
      </c>
    </row>
    <row r="9" spans="1:13" ht="16.5" customHeight="1">
      <c r="A9" s="31" t="s">
        <v>16</v>
      </c>
      <c r="B9" s="32" t="s">
        <v>38</v>
      </c>
      <c r="C9" s="32" t="s">
        <v>9</v>
      </c>
      <c r="D9" s="33" t="s">
        <v>39</v>
      </c>
      <c r="E9" s="30" t="s">
        <v>33</v>
      </c>
      <c r="G9" s="31" t="s">
        <v>40</v>
      </c>
      <c r="H9" s="23">
        <f t="shared" si="0"/>
        <v>5</v>
      </c>
      <c r="J9" s="31" t="s">
        <v>40</v>
      </c>
      <c r="K9" s="23">
        <f t="shared" si="1"/>
        <v>5</v>
      </c>
    </row>
    <row r="10" spans="1:13" ht="16.5" customHeight="1">
      <c r="A10" s="31" t="s">
        <v>20</v>
      </c>
      <c r="B10" s="32" t="s">
        <v>41</v>
      </c>
      <c r="C10" s="32" t="s">
        <v>9</v>
      </c>
      <c r="D10" s="36" t="s">
        <v>42</v>
      </c>
      <c r="G10" s="31" t="s">
        <v>43</v>
      </c>
      <c r="H10" s="23">
        <f t="shared" si="0"/>
        <v>9</v>
      </c>
      <c r="J10" s="31" t="s">
        <v>43</v>
      </c>
      <c r="K10" s="23">
        <f t="shared" si="1"/>
        <v>9</v>
      </c>
    </row>
    <row r="11" spans="1:13" ht="16.5" customHeight="1">
      <c r="A11" s="31" t="s">
        <v>20</v>
      </c>
      <c r="B11" s="32" t="s">
        <v>44</v>
      </c>
      <c r="C11" s="32" t="s">
        <v>9</v>
      </c>
      <c r="D11" s="39" t="s">
        <v>10</v>
      </c>
      <c r="G11" s="31" t="s">
        <v>45</v>
      </c>
      <c r="H11" s="23">
        <f t="shared" si="0"/>
        <v>4</v>
      </c>
      <c r="J11" s="31" t="s">
        <v>45</v>
      </c>
      <c r="K11" s="23">
        <f t="shared" si="1"/>
        <v>4</v>
      </c>
    </row>
    <row r="12" spans="1:13" ht="16.5" customHeight="1">
      <c r="A12" s="31" t="s">
        <v>20</v>
      </c>
      <c r="B12" s="32" t="s">
        <v>46</v>
      </c>
      <c r="C12" s="32" t="s">
        <v>9</v>
      </c>
      <c r="D12" s="33" t="s">
        <v>47</v>
      </c>
      <c r="E12" s="33" t="s">
        <v>48</v>
      </c>
      <c r="G12" s="31" t="s">
        <v>49</v>
      </c>
      <c r="H12" s="23">
        <f t="shared" si="0"/>
        <v>5</v>
      </c>
      <c r="J12" s="31" t="s">
        <v>49</v>
      </c>
      <c r="K12" s="23">
        <f t="shared" si="1"/>
        <v>5</v>
      </c>
    </row>
    <row r="13" spans="1:13" ht="16.5" customHeight="1">
      <c r="A13" s="31" t="s">
        <v>20</v>
      </c>
      <c r="B13" s="32" t="s">
        <v>50</v>
      </c>
      <c r="C13" s="32" t="s">
        <v>9</v>
      </c>
      <c r="D13" s="33" t="s">
        <v>10</v>
      </c>
      <c r="G13" s="31" t="s">
        <v>51</v>
      </c>
      <c r="H13" s="23">
        <f t="shared" si="0"/>
        <v>3</v>
      </c>
      <c r="J13" s="31" t="s">
        <v>51</v>
      </c>
      <c r="K13" s="23">
        <f t="shared" si="1"/>
        <v>3</v>
      </c>
    </row>
    <row r="14" spans="1:13" ht="16.5" customHeight="1">
      <c r="A14" s="31" t="s">
        <v>20</v>
      </c>
      <c r="B14" s="32" t="s">
        <v>52</v>
      </c>
      <c r="C14" s="32" t="s">
        <v>9</v>
      </c>
      <c r="D14" s="33" t="s">
        <v>53</v>
      </c>
    </row>
    <row r="15" spans="1:13" ht="16.5" customHeight="1">
      <c r="A15" s="31" t="s">
        <v>25</v>
      </c>
      <c r="B15" s="32" t="s">
        <v>54</v>
      </c>
      <c r="C15" s="32" t="s">
        <v>9</v>
      </c>
    </row>
    <row r="16" spans="1:13" ht="16.5" customHeight="1">
      <c r="A16" s="31" t="s">
        <v>25</v>
      </c>
      <c r="B16" s="32" t="s">
        <v>55</v>
      </c>
      <c r="C16" s="32" t="s">
        <v>9</v>
      </c>
    </row>
    <row r="17" spans="1:5" ht="16.5" customHeight="1">
      <c r="A17" s="31" t="s">
        <v>25</v>
      </c>
      <c r="B17" s="32" t="s">
        <v>56</v>
      </c>
      <c r="C17" s="32" t="s">
        <v>9</v>
      </c>
      <c r="D17" s="29" t="s">
        <v>57</v>
      </c>
    </row>
    <row r="18" spans="1:5" ht="16.5" customHeight="1">
      <c r="A18" s="31" t="s">
        <v>29</v>
      </c>
      <c r="B18" s="40" t="s">
        <v>58</v>
      </c>
      <c r="C18" s="32" t="s">
        <v>9</v>
      </c>
      <c r="D18" s="29" t="s">
        <v>59</v>
      </c>
    </row>
    <row r="19" spans="1:5" ht="16.5" customHeight="1">
      <c r="A19" s="31" t="s">
        <v>29</v>
      </c>
      <c r="B19" s="32" t="s">
        <v>60</v>
      </c>
      <c r="C19" s="32" t="s">
        <v>9</v>
      </c>
      <c r="D19" s="39" t="s">
        <v>59</v>
      </c>
    </row>
    <row r="20" spans="1:5" ht="16.5" customHeight="1">
      <c r="A20" s="31" t="s">
        <v>29</v>
      </c>
      <c r="B20" s="32" t="s">
        <v>61</v>
      </c>
      <c r="C20" s="32" t="s">
        <v>9</v>
      </c>
      <c r="D20" s="33" t="s">
        <v>62</v>
      </c>
    </row>
    <row r="21" spans="1:5" ht="16.5" customHeight="1">
      <c r="A21" s="31" t="s">
        <v>29</v>
      </c>
      <c r="B21" s="32" t="s">
        <v>63</v>
      </c>
      <c r="C21" s="32" t="s">
        <v>9</v>
      </c>
      <c r="D21" s="41" t="s">
        <v>64</v>
      </c>
    </row>
    <row r="22" spans="1:5" ht="16.5" customHeight="1">
      <c r="A22" s="31" t="s">
        <v>29</v>
      </c>
      <c r="B22" s="32" t="s">
        <v>65</v>
      </c>
      <c r="C22" s="42" t="s">
        <v>9</v>
      </c>
      <c r="D22" s="29" t="s">
        <v>66</v>
      </c>
    </row>
    <row r="23" spans="1:5" ht="16.5" customHeight="1">
      <c r="A23" s="31" t="s">
        <v>34</v>
      </c>
      <c r="B23" s="32" t="s">
        <v>67</v>
      </c>
      <c r="C23" s="42" t="s">
        <v>9</v>
      </c>
      <c r="D23" s="36" t="s">
        <v>14</v>
      </c>
    </row>
    <row r="24" spans="1:5" ht="16.5" customHeight="1">
      <c r="A24" s="31" t="s">
        <v>34</v>
      </c>
      <c r="B24" s="32" t="s">
        <v>68</v>
      </c>
      <c r="C24" s="42" t="s">
        <v>9</v>
      </c>
      <c r="D24" s="36" t="s">
        <v>53</v>
      </c>
      <c r="E24" s="30" t="s">
        <v>69</v>
      </c>
    </row>
    <row r="25" spans="1:5" ht="16.5" customHeight="1">
      <c r="A25" s="31" t="s">
        <v>34</v>
      </c>
      <c r="B25" s="32" t="s">
        <v>70</v>
      </c>
      <c r="C25" s="42" t="s">
        <v>9</v>
      </c>
      <c r="D25" s="33" t="s">
        <v>66</v>
      </c>
    </row>
    <row r="26" spans="1:5" ht="16.5" customHeight="1">
      <c r="A26" s="31" t="s">
        <v>37</v>
      </c>
      <c r="B26" s="32" t="s">
        <v>71</v>
      </c>
      <c r="C26" s="42" t="s">
        <v>9</v>
      </c>
      <c r="D26" s="29" t="s">
        <v>72</v>
      </c>
      <c r="E26" s="30" t="s">
        <v>73</v>
      </c>
    </row>
    <row r="27" spans="1:5" ht="16.5" customHeight="1">
      <c r="A27" s="31" t="s">
        <v>37</v>
      </c>
      <c r="B27" s="43" t="s">
        <v>74</v>
      </c>
      <c r="C27" s="42" t="s">
        <v>9</v>
      </c>
      <c r="D27" s="36" t="s">
        <v>75</v>
      </c>
    </row>
    <row r="28" spans="1:5" ht="16.5" customHeight="1">
      <c r="A28" s="31" t="s">
        <v>37</v>
      </c>
      <c r="B28" s="44" t="s">
        <v>76</v>
      </c>
      <c r="C28" s="45" t="s">
        <v>9</v>
      </c>
      <c r="D28" s="46" t="s">
        <v>77</v>
      </c>
    </row>
    <row r="29" spans="1:5" ht="16.5" customHeight="1">
      <c r="A29" s="31" t="s">
        <v>40</v>
      </c>
      <c r="B29" s="32" t="s">
        <v>78</v>
      </c>
      <c r="C29" s="42" t="s">
        <v>9</v>
      </c>
      <c r="D29" s="36" t="s">
        <v>36</v>
      </c>
    </row>
    <row r="30" spans="1:5" ht="16.5" customHeight="1">
      <c r="A30" s="31" t="s">
        <v>40</v>
      </c>
      <c r="B30" s="44" t="s">
        <v>79</v>
      </c>
      <c r="C30" s="45" t="s">
        <v>9</v>
      </c>
      <c r="D30" s="46" t="s">
        <v>80</v>
      </c>
    </row>
    <row r="31" spans="1:5" ht="16.5" customHeight="1">
      <c r="A31" s="31" t="s">
        <v>40</v>
      </c>
      <c r="B31" s="32" t="s">
        <v>81</v>
      </c>
      <c r="C31" s="42" t="s">
        <v>9</v>
      </c>
      <c r="D31" s="36" t="s">
        <v>28</v>
      </c>
      <c r="E31" s="30" t="s">
        <v>82</v>
      </c>
    </row>
    <row r="32" spans="1:5" ht="16.5" customHeight="1">
      <c r="A32" s="31" t="s">
        <v>40</v>
      </c>
      <c r="B32" s="32" t="s">
        <v>83</v>
      </c>
      <c r="C32" s="42" t="s">
        <v>9</v>
      </c>
      <c r="D32" s="39" t="s">
        <v>84</v>
      </c>
    </row>
    <row r="33" spans="1:5" ht="16.5" customHeight="1">
      <c r="A33" s="31" t="s">
        <v>40</v>
      </c>
      <c r="B33" s="32" t="s">
        <v>85</v>
      </c>
      <c r="C33" s="42" t="s">
        <v>9</v>
      </c>
      <c r="D33" s="36" t="s">
        <v>86</v>
      </c>
    </row>
    <row r="34" spans="1:5" ht="16.5" customHeight="1">
      <c r="A34" s="31" t="s">
        <v>43</v>
      </c>
      <c r="B34" s="32" t="s">
        <v>87</v>
      </c>
      <c r="C34" s="42" t="s">
        <v>9</v>
      </c>
      <c r="D34" s="33" t="s">
        <v>88</v>
      </c>
      <c r="E34" s="30" t="s">
        <v>89</v>
      </c>
    </row>
    <row r="35" spans="1:5" ht="16.5" customHeight="1">
      <c r="A35" s="31" t="s">
        <v>43</v>
      </c>
      <c r="B35" s="32" t="s">
        <v>90</v>
      </c>
      <c r="C35" s="42" t="s">
        <v>9</v>
      </c>
      <c r="D35" s="33" t="s">
        <v>53</v>
      </c>
    </row>
    <row r="36" spans="1:5" ht="16.5" customHeight="1">
      <c r="A36" s="31" t="s">
        <v>43</v>
      </c>
      <c r="B36" s="32" t="s">
        <v>91</v>
      </c>
      <c r="C36" s="42" t="s">
        <v>9</v>
      </c>
      <c r="D36" s="29" t="s">
        <v>10</v>
      </c>
      <c r="E36" s="30" t="s">
        <v>92</v>
      </c>
    </row>
    <row r="37" spans="1:5" ht="16.5" customHeight="1">
      <c r="A37" s="31" t="s">
        <v>43</v>
      </c>
      <c r="B37" s="32" t="s">
        <v>93</v>
      </c>
      <c r="C37" s="42" t="s">
        <v>9</v>
      </c>
      <c r="D37" s="36" t="s">
        <v>94</v>
      </c>
    </row>
    <row r="38" spans="1:5" ht="16.5" customHeight="1">
      <c r="A38" s="31" t="s">
        <v>43</v>
      </c>
      <c r="B38" s="32" t="s">
        <v>95</v>
      </c>
      <c r="C38" s="42" t="s">
        <v>9</v>
      </c>
    </row>
    <row r="39" spans="1:5" ht="16.5" customHeight="1">
      <c r="A39" s="31" t="s">
        <v>43</v>
      </c>
      <c r="B39" s="32" t="s">
        <v>96</v>
      </c>
      <c r="C39" s="42" t="s">
        <v>9</v>
      </c>
      <c r="D39" s="29" t="s">
        <v>77</v>
      </c>
    </row>
    <row r="40" spans="1:5" ht="16.5" customHeight="1">
      <c r="A40" s="31" t="s">
        <v>43</v>
      </c>
      <c r="B40" s="47" t="s">
        <v>97</v>
      </c>
      <c r="C40" s="42" t="s">
        <v>9</v>
      </c>
      <c r="D40" s="46"/>
    </row>
    <row r="41" spans="1:5" ht="16.5" customHeight="1">
      <c r="A41" s="31" t="s">
        <v>43</v>
      </c>
      <c r="B41" s="44" t="s">
        <v>98</v>
      </c>
      <c r="C41" s="42" t="s">
        <v>9</v>
      </c>
      <c r="D41" s="46" t="s">
        <v>77</v>
      </c>
    </row>
    <row r="42" spans="1:5" ht="16.5" customHeight="1">
      <c r="A42" s="31" t="s">
        <v>43</v>
      </c>
      <c r="B42" s="44" t="s">
        <v>99</v>
      </c>
      <c r="C42" s="42" t="s">
        <v>9</v>
      </c>
      <c r="D42" s="33" t="s">
        <v>10</v>
      </c>
      <c r="E42" s="46" t="s">
        <v>100</v>
      </c>
    </row>
    <row r="43" spans="1:5" ht="16.5" customHeight="1">
      <c r="A43" s="31" t="s">
        <v>45</v>
      </c>
      <c r="B43" s="32" t="s">
        <v>101</v>
      </c>
      <c r="C43" s="42" t="s">
        <v>9</v>
      </c>
      <c r="D43" s="36" t="s">
        <v>28</v>
      </c>
    </row>
    <row r="44" spans="1:5" ht="16.5" customHeight="1">
      <c r="A44" s="31" t="s">
        <v>45</v>
      </c>
      <c r="B44" s="32" t="s">
        <v>102</v>
      </c>
      <c r="C44" s="42" t="s">
        <v>9</v>
      </c>
      <c r="D44" s="36" t="s">
        <v>103</v>
      </c>
    </row>
    <row r="45" spans="1:5" ht="16.5" customHeight="1">
      <c r="A45" s="31" t="s">
        <v>45</v>
      </c>
      <c r="B45" s="32" t="s">
        <v>104</v>
      </c>
      <c r="C45" s="42" t="s">
        <v>9</v>
      </c>
      <c r="D45" s="36" t="s">
        <v>105</v>
      </c>
    </row>
    <row r="46" spans="1:5" ht="16.5" customHeight="1">
      <c r="A46" s="31" t="s">
        <v>45</v>
      </c>
      <c r="B46" s="44" t="s">
        <v>106</v>
      </c>
      <c r="C46" s="42" t="s">
        <v>9</v>
      </c>
      <c r="D46" s="46" t="s">
        <v>72</v>
      </c>
    </row>
    <row r="47" spans="1:5" ht="16.5" customHeight="1">
      <c r="A47" s="31" t="s">
        <v>49</v>
      </c>
      <c r="B47" s="32" t="s">
        <v>107</v>
      </c>
      <c r="C47" s="42" t="s">
        <v>9</v>
      </c>
      <c r="D47" s="36" t="s">
        <v>10</v>
      </c>
      <c r="E47" s="30" t="s">
        <v>108</v>
      </c>
    </row>
    <row r="48" spans="1:5" ht="16.5" customHeight="1">
      <c r="A48" s="31" t="s">
        <v>49</v>
      </c>
      <c r="B48" s="44" t="s">
        <v>109</v>
      </c>
      <c r="C48" s="42" t="s">
        <v>9</v>
      </c>
      <c r="D48" s="51"/>
    </row>
    <row r="49" spans="1:5" ht="16.5" customHeight="1">
      <c r="A49" s="31" t="s">
        <v>49</v>
      </c>
      <c r="B49" s="32" t="s">
        <v>110</v>
      </c>
      <c r="C49" s="42" t="s">
        <v>9</v>
      </c>
      <c r="D49" s="39" t="s">
        <v>59</v>
      </c>
    </row>
    <row r="50" spans="1:5" ht="16.5" customHeight="1">
      <c r="A50" s="31" t="s">
        <v>49</v>
      </c>
      <c r="B50" s="32" t="s">
        <v>111</v>
      </c>
      <c r="C50" s="42" t="s">
        <v>9</v>
      </c>
      <c r="D50" s="29" t="s">
        <v>42</v>
      </c>
    </row>
    <row r="51" spans="1:5" ht="16.5" customHeight="1">
      <c r="A51" s="31" t="s">
        <v>49</v>
      </c>
      <c r="B51" s="32" t="s">
        <v>112</v>
      </c>
      <c r="C51" s="42" t="s">
        <v>9</v>
      </c>
      <c r="D51" s="36" t="s">
        <v>113</v>
      </c>
    </row>
    <row r="52" spans="1:5" ht="16.5" customHeight="1">
      <c r="A52" s="31" t="s">
        <v>51</v>
      </c>
      <c r="B52" s="32" t="s">
        <v>114</v>
      </c>
      <c r="C52" s="42" t="s">
        <v>9</v>
      </c>
      <c r="D52" s="36" t="s">
        <v>115</v>
      </c>
      <c r="E52" s="49" t="s">
        <v>116</v>
      </c>
    </row>
    <row r="53" spans="1:5" ht="16.5" customHeight="1">
      <c r="A53" s="31" t="s">
        <v>51</v>
      </c>
      <c r="B53" s="32" t="s">
        <v>117</v>
      </c>
      <c r="C53" s="42" t="s">
        <v>9</v>
      </c>
      <c r="D53" s="33" t="s">
        <v>118</v>
      </c>
      <c r="E53" s="30" t="s">
        <v>119</v>
      </c>
    </row>
    <row r="54" spans="1:5" ht="16.5" customHeight="1">
      <c r="A54" s="31" t="s">
        <v>51</v>
      </c>
      <c r="B54" s="32" t="s">
        <v>120</v>
      </c>
      <c r="C54" s="42" t="s">
        <v>9</v>
      </c>
      <c r="D54" s="29" t="s">
        <v>121</v>
      </c>
    </row>
  </sheetData>
  <phoneticPr fontId="1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2026年日报">
    <outlinePr summaryBelow="0" summaryRight="0"/>
  </sheetPr>
  <dimension ref="A1:M57"/>
  <sheetViews>
    <sheetView tabSelected="1" topLeftCell="D1" workbookViewId="0">
      <selection activeCell="M3" sqref="M3:M6"/>
    </sheetView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3" ht="16.5" customHeight="1">
      <c r="A1" t="s">
        <v>122</v>
      </c>
      <c r="B1" s="52">
        <v>46114</v>
      </c>
    </row>
    <row r="2" spans="1:13" ht="16.5" customHeight="1">
      <c r="A2" s="27" t="s">
        <v>0</v>
      </c>
      <c r="B2" s="28" t="s">
        <v>1</v>
      </c>
      <c r="C2" s="28" t="s">
        <v>2</v>
      </c>
      <c r="D2" s="29" t="s">
        <v>123</v>
      </c>
      <c r="E2" s="30" t="s">
        <v>4</v>
      </c>
      <c r="G2" s="22" t="s">
        <v>5</v>
      </c>
      <c r="H2" s="24">
        <f>SUM(H3:H107)</f>
        <v>55</v>
      </c>
      <c r="J2" s="22" t="s">
        <v>6</v>
      </c>
      <c r="K2" s="24">
        <f>SUM(K3:K107)</f>
        <v>55</v>
      </c>
    </row>
    <row r="3" spans="1:13" ht="16.5" customHeight="1">
      <c r="A3" s="31" t="s">
        <v>7</v>
      </c>
      <c r="B3" s="32" t="s">
        <v>8</v>
      </c>
      <c r="C3" s="32" t="s">
        <v>9</v>
      </c>
      <c r="D3" s="33"/>
      <c r="E3" s="29"/>
      <c r="G3" s="31" t="s">
        <v>7</v>
      </c>
      <c r="H3" s="23">
        <f t="shared" ref="H3:H14" si="0">COUNTIF($A:$A,$G3)</f>
        <v>6</v>
      </c>
      <c r="J3" s="31" t="s">
        <v>7</v>
      </c>
      <c r="K3" s="23">
        <f t="shared" ref="K3:K12" si="1">COUNTIFS($A:$A,$G3,$C:$C,"&lt;&gt;新中心")</f>
        <v>6</v>
      </c>
      <c r="L3" s="34" t="s">
        <v>12</v>
      </c>
      <c r="M3" s="35">
        <f>SUM(K3:K6)</f>
        <v>18</v>
      </c>
    </row>
    <row r="4" spans="1:13" ht="16.5" customHeight="1">
      <c r="A4" s="31" t="s">
        <v>7</v>
      </c>
      <c r="B4" s="32" t="s">
        <v>13</v>
      </c>
      <c r="C4" s="32" t="s">
        <v>9</v>
      </c>
      <c r="D4" s="36"/>
      <c r="G4" s="31" t="s">
        <v>16</v>
      </c>
      <c r="H4" s="23">
        <f t="shared" si="0"/>
        <v>4</v>
      </c>
      <c r="J4" s="31" t="s">
        <v>16</v>
      </c>
      <c r="K4" s="23">
        <f t="shared" si="1"/>
        <v>4</v>
      </c>
      <c r="L4" s="34" t="s">
        <v>17</v>
      </c>
      <c r="M4" s="35">
        <f>SUM(K7:K10)</f>
        <v>17</v>
      </c>
    </row>
    <row r="5" spans="1:13" ht="16.5" customHeight="1">
      <c r="A5" s="37" t="s">
        <v>7</v>
      </c>
      <c r="B5" s="38" t="s">
        <v>18</v>
      </c>
      <c r="C5" s="38" t="s">
        <v>9</v>
      </c>
      <c r="D5" s="29" t="s">
        <v>53</v>
      </c>
      <c r="G5" s="31" t="s">
        <v>20</v>
      </c>
      <c r="H5" s="23">
        <f t="shared" si="0"/>
        <v>5</v>
      </c>
      <c r="J5" s="31" t="s">
        <v>20</v>
      </c>
      <c r="K5" s="23">
        <f t="shared" si="1"/>
        <v>5</v>
      </c>
      <c r="L5" s="34" t="s">
        <v>21</v>
      </c>
      <c r="M5" s="35">
        <f>SUM(K11:K12)</f>
        <v>17</v>
      </c>
    </row>
    <row r="6" spans="1:13" ht="16.5" customHeight="1">
      <c r="A6" s="37" t="s">
        <v>7</v>
      </c>
      <c r="B6" s="38" t="s">
        <v>22</v>
      </c>
      <c r="C6" s="38" t="s">
        <v>9</v>
      </c>
      <c r="D6" s="29" t="s">
        <v>124</v>
      </c>
      <c r="G6" s="31" t="s">
        <v>25</v>
      </c>
      <c r="H6" s="23">
        <f t="shared" si="0"/>
        <v>3</v>
      </c>
      <c r="J6" s="31" t="s">
        <v>25</v>
      </c>
      <c r="K6" s="23">
        <f t="shared" si="1"/>
        <v>3</v>
      </c>
      <c r="L6" s="34" t="s">
        <v>30</v>
      </c>
      <c r="M6" s="35">
        <f>K13</f>
        <v>3</v>
      </c>
    </row>
    <row r="7" spans="1:13" ht="16.5" customHeight="1">
      <c r="A7" s="37" t="s">
        <v>7</v>
      </c>
      <c r="B7" s="38" t="s">
        <v>27</v>
      </c>
      <c r="C7" s="38" t="s">
        <v>9</v>
      </c>
      <c r="D7" s="33" t="s">
        <v>125</v>
      </c>
      <c r="G7" s="31" t="s">
        <v>29</v>
      </c>
      <c r="H7" s="23">
        <f t="shared" si="0"/>
        <v>5</v>
      </c>
      <c r="J7" s="31" t="s">
        <v>29</v>
      </c>
      <c r="K7" s="23">
        <f t="shared" si="1"/>
        <v>5</v>
      </c>
      <c r="L7" s="34"/>
      <c r="M7" s="35"/>
    </row>
    <row r="8" spans="1:13" ht="16.5" customHeight="1">
      <c r="A8" s="31" t="s">
        <v>16</v>
      </c>
      <c r="B8" s="32" t="s">
        <v>31</v>
      </c>
      <c r="C8" s="32" t="s">
        <v>9</v>
      </c>
      <c r="G8" s="31" t="s">
        <v>34</v>
      </c>
      <c r="H8" s="23">
        <f t="shared" si="0"/>
        <v>3</v>
      </c>
      <c r="J8" s="31" t="s">
        <v>34</v>
      </c>
      <c r="K8" s="23">
        <f t="shared" si="1"/>
        <v>3</v>
      </c>
    </row>
    <row r="9" spans="1:13" ht="16.5" customHeight="1">
      <c r="A9" s="31" t="s">
        <v>16</v>
      </c>
      <c r="B9" s="32" t="s">
        <v>35</v>
      </c>
      <c r="C9" s="32" t="s">
        <v>9</v>
      </c>
      <c r="D9" s="29" t="s">
        <v>59</v>
      </c>
      <c r="G9" s="31" t="s">
        <v>37</v>
      </c>
      <c r="H9" s="23">
        <f t="shared" si="0"/>
        <v>3</v>
      </c>
      <c r="J9" s="31" t="s">
        <v>37</v>
      </c>
      <c r="K9" s="23">
        <f t="shared" si="1"/>
        <v>3</v>
      </c>
    </row>
    <row r="10" spans="1:13" ht="16.5" customHeight="1">
      <c r="A10" s="31" t="s">
        <v>16</v>
      </c>
      <c r="B10" s="32" t="s">
        <v>38</v>
      </c>
      <c r="C10" s="32" t="s">
        <v>9</v>
      </c>
      <c r="D10" s="33"/>
      <c r="G10" s="31" t="s">
        <v>40</v>
      </c>
      <c r="H10" s="23">
        <f t="shared" si="0"/>
        <v>6</v>
      </c>
      <c r="J10" s="31" t="s">
        <v>40</v>
      </c>
      <c r="K10" s="23">
        <f t="shared" si="1"/>
        <v>6</v>
      </c>
    </row>
    <row r="11" spans="1:13" ht="16.5" customHeight="1">
      <c r="A11" s="31" t="s">
        <v>20</v>
      </c>
      <c r="B11" s="32" t="s">
        <v>41</v>
      </c>
      <c r="C11" s="32" t="s">
        <v>9</v>
      </c>
      <c r="D11" s="36"/>
      <c r="G11" s="31" t="s">
        <v>43</v>
      </c>
      <c r="H11" s="23">
        <f t="shared" si="0"/>
        <v>11</v>
      </c>
      <c r="J11" s="31" t="s">
        <v>43</v>
      </c>
      <c r="K11" s="23">
        <f t="shared" si="1"/>
        <v>11</v>
      </c>
    </row>
    <row r="12" spans="1:13" ht="16.5" customHeight="1">
      <c r="A12" s="31" t="s">
        <v>20</v>
      </c>
      <c r="B12" s="32" t="s">
        <v>44</v>
      </c>
      <c r="C12" s="32" t="s">
        <v>9</v>
      </c>
      <c r="D12" s="39"/>
      <c r="G12" s="31" t="s">
        <v>45</v>
      </c>
      <c r="H12" s="23">
        <f t="shared" si="0"/>
        <v>6</v>
      </c>
      <c r="J12" s="31" t="s">
        <v>45</v>
      </c>
      <c r="K12" s="23">
        <f t="shared" si="1"/>
        <v>6</v>
      </c>
    </row>
    <row r="13" spans="1:13" ht="16.5" customHeight="1">
      <c r="A13" s="31" t="s">
        <v>20</v>
      </c>
      <c r="B13" s="32" t="s">
        <v>46</v>
      </c>
      <c r="C13" s="32" t="s">
        <v>9</v>
      </c>
      <c r="D13" s="33" t="s">
        <v>124</v>
      </c>
      <c r="E13" s="33"/>
      <c r="G13" s="31" t="s">
        <v>49</v>
      </c>
      <c r="H13" s="23">
        <f t="shared" si="0"/>
        <v>0</v>
      </c>
      <c r="J13" s="31" t="s">
        <v>51</v>
      </c>
      <c r="K13" s="23">
        <f>COUNTIFS($A:$A,$G14,$C:$C,"&lt;&gt;新中心")</f>
        <v>3</v>
      </c>
    </row>
    <row r="14" spans="1:13" ht="16.5" customHeight="1">
      <c r="A14" s="31" t="s">
        <v>20</v>
      </c>
      <c r="B14" s="32" t="s">
        <v>50</v>
      </c>
      <c r="C14" s="32" t="s">
        <v>9</v>
      </c>
      <c r="D14" s="33" t="s">
        <v>10</v>
      </c>
      <c r="G14" s="31" t="s">
        <v>51</v>
      </c>
      <c r="H14" s="23">
        <f t="shared" si="0"/>
        <v>3</v>
      </c>
    </row>
    <row r="15" spans="1:13" ht="16.5" customHeight="1">
      <c r="A15" s="31" t="s">
        <v>20</v>
      </c>
      <c r="B15" s="32" t="s">
        <v>52</v>
      </c>
      <c r="C15" s="32" t="s">
        <v>9</v>
      </c>
      <c r="D15" s="33" t="s">
        <v>105</v>
      </c>
    </row>
    <row r="16" spans="1:13" ht="16.5" customHeight="1">
      <c r="A16" s="31" t="s">
        <v>25</v>
      </c>
      <c r="B16" s="32" t="s">
        <v>54</v>
      </c>
      <c r="C16" s="32" t="s">
        <v>9</v>
      </c>
    </row>
    <row r="17" spans="1:5" ht="16.5" customHeight="1">
      <c r="A17" s="31" t="s">
        <v>25</v>
      </c>
      <c r="B17" s="32" t="s">
        <v>55</v>
      </c>
      <c r="C17" s="32" t="s">
        <v>9</v>
      </c>
    </row>
    <row r="18" spans="1:5" ht="16.5" customHeight="1">
      <c r="A18" s="31" t="s">
        <v>25</v>
      </c>
      <c r="B18" s="32" t="s">
        <v>56</v>
      </c>
      <c r="C18" s="32" t="s">
        <v>9</v>
      </c>
      <c r="D18" s="29" t="s">
        <v>10</v>
      </c>
    </row>
    <row r="19" spans="1:5" ht="16.5" customHeight="1">
      <c r="A19" s="31" t="s">
        <v>29</v>
      </c>
      <c r="B19" s="40" t="s">
        <v>58</v>
      </c>
      <c r="C19" s="32" t="s">
        <v>9</v>
      </c>
    </row>
    <row r="20" spans="1:5" ht="16.5" customHeight="1">
      <c r="A20" s="31" t="s">
        <v>29</v>
      </c>
      <c r="B20" s="32" t="s">
        <v>60</v>
      </c>
      <c r="C20" s="32" t="s">
        <v>9</v>
      </c>
      <c r="D20" s="39"/>
    </row>
    <row r="21" spans="1:5" ht="16.5" customHeight="1">
      <c r="A21" s="31" t="s">
        <v>29</v>
      </c>
      <c r="B21" s="32" t="s">
        <v>61</v>
      </c>
      <c r="C21" s="32" t="s">
        <v>9</v>
      </c>
      <c r="D21" s="33" t="s">
        <v>88</v>
      </c>
    </row>
    <row r="22" spans="1:5" ht="16.5" customHeight="1">
      <c r="A22" s="31" t="s">
        <v>29</v>
      </c>
      <c r="B22" s="32" t="s">
        <v>63</v>
      </c>
      <c r="C22" s="32" t="s">
        <v>9</v>
      </c>
      <c r="D22" s="54" t="s">
        <v>10</v>
      </c>
    </row>
    <row r="23" spans="1:5" ht="16.5" customHeight="1">
      <c r="A23" s="31" t="s">
        <v>29</v>
      </c>
      <c r="B23" s="32" t="s">
        <v>65</v>
      </c>
      <c r="C23" s="42" t="s">
        <v>9</v>
      </c>
      <c r="D23" s="29" t="s">
        <v>10</v>
      </c>
    </row>
    <row r="24" spans="1:5" ht="16.5" customHeight="1">
      <c r="A24" s="31" t="s">
        <v>34</v>
      </c>
      <c r="B24" s="32" t="s">
        <v>67</v>
      </c>
      <c r="C24" s="42" t="s">
        <v>9</v>
      </c>
      <c r="D24" s="36" t="s">
        <v>59</v>
      </c>
    </row>
    <row r="25" spans="1:5" ht="16.5" customHeight="1">
      <c r="A25" s="31" t="s">
        <v>34</v>
      </c>
      <c r="B25" s="32" t="s">
        <v>68</v>
      </c>
      <c r="C25" s="42" t="s">
        <v>9</v>
      </c>
      <c r="D25" s="36"/>
    </row>
    <row r="26" spans="1:5" ht="16.5" customHeight="1">
      <c r="A26" s="31" t="s">
        <v>34</v>
      </c>
      <c r="B26" s="32" t="s">
        <v>70</v>
      </c>
      <c r="C26" s="42" t="s">
        <v>9</v>
      </c>
      <c r="D26" s="33"/>
    </row>
    <row r="27" spans="1:5" ht="16.5" customHeight="1">
      <c r="A27" s="31" t="s">
        <v>37</v>
      </c>
      <c r="B27" s="32" t="s">
        <v>71</v>
      </c>
      <c r="C27" s="42" t="s">
        <v>9</v>
      </c>
      <c r="D27" s="29" t="s">
        <v>126</v>
      </c>
    </row>
    <row r="28" spans="1:5" ht="16.5" customHeight="1">
      <c r="A28" s="31" t="s">
        <v>37</v>
      </c>
      <c r="B28" s="43" t="s">
        <v>74</v>
      </c>
      <c r="C28" s="42" t="s">
        <v>9</v>
      </c>
      <c r="D28" s="36" t="s">
        <v>10</v>
      </c>
    </row>
    <row r="29" spans="1:5" ht="16.5" customHeight="1">
      <c r="A29" s="31" t="s">
        <v>37</v>
      </c>
      <c r="B29" s="44" t="s">
        <v>76</v>
      </c>
      <c r="C29" s="45" t="s">
        <v>9</v>
      </c>
      <c r="D29" s="46" t="s">
        <v>10</v>
      </c>
    </row>
    <row r="30" spans="1:5" ht="16.5" customHeight="1">
      <c r="A30" s="31" t="s">
        <v>40</v>
      </c>
      <c r="B30" s="32" t="s">
        <v>78</v>
      </c>
      <c r="C30" s="42" t="s">
        <v>9</v>
      </c>
      <c r="D30" s="36" t="s">
        <v>127</v>
      </c>
    </row>
    <row r="31" spans="1:5" ht="16.5" customHeight="1">
      <c r="A31" s="31" t="s">
        <v>40</v>
      </c>
      <c r="B31" s="44" t="s">
        <v>79</v>
      </c>
      <c r="C31" s="45" t="s">
        <v>9</v>
      </c>
      <c r="D31" s="46" t="s">
        <v>128</v>
      </c>
    </row>
    <row r="32" spans="1:5" ht="16.5" customHeight="1">
      <c r="A32" s="31" t="s">
        <v>40</v>
      </c>
      <c r="B32" s="32" t="s">
        <v>81</v>
      </c>
      <c r="C32" s="42" t="s">
        <v>9</v>
      </c>
      <c r="D32" s="36" t="s">
        <v>66</v>
      </c>
      <c r="E32" s="30" t="s">
        <v>129</v>
      </c>
    </row>
    <row r="33" spans="1:5" ht="16.5" customHeight="1">
      <c r="A33" s="31" t="s">
        <v>40</v>
      </c>
      <c r="B33" s="32" t="s">
        <v>130</v>
      </c>
      <c r="C33" s="42" t="s">
        <v>9</v>
      </c>
      <c r="D33" s="39" t="s">
        <v>105</v>
      </c>
    </row>
    <row r="34" spans="1:5" ht="16.5" customHeight="1">
      <c r="A34" s="31" t="s">
        <v>40</v>
      </c>
      <c r="B34" s="32" t="s">
        <v>85</v>
      </c>
      <c r="C34" s="42" t="s">
        <v>9</v>
      </c>
      <c r="D34" s="36" t="s">
        <v>42</v>
      </c>
    </row>
    <row r="35" spans="1:5" ht="16.5" customHeight="1">
      <c r="A35" s="31" t="s">
        <v>43</v>
      </c>
      <c r="B35" s="32" t="s">
        <v>87</v>
      </c>
      <c r="C35" s="42" t="s">
        <v>9</v>
      </c>
      <c r="D35" s="33" t="s">
        <v>105</v>
      </c>
    </row>
    <row r="36" spans="1:5" ht="16.5" customHeight="1">
      <c r="A36" s="31" t="s">
        <v>43</v>
      </c>
      <c r="B36" s="32" t="s">
        <v>90</v>
      </c>
      <c r="C36" s="42" t="s">
        <v>9</v>
      </c>
      <c r="D36" s="33" t="s">
        <v>88</v>
      </c>
    </row>
    <row r="37" spans="1:5" ht="16.5" customHeight="1">
      <c r="A37" s="31" t="s">
        <v>43</v>
      </c>
      <c r="B37" s="32" t="s">
        <v>91</v>
      </c>
      <c r="C37" s="42" t="s">
        <v>9</v>
      </c>
      <c r="D37" s="29" t="s">
        <v>10</v>
      </c>
    </row>
    <row r="38" spans="1:5" ht="16.5" customHeight="1">
      <c r="A38" s="31" t="s">
        <v>43</v>
      </c>
      <c r="B38" s="32" t="s">
        <v>93</v>
      </c>
      <c r="C38" s="42" t="s">
        <v>9</v>
      </c>
      <c r="D38" s="36" t="s">
        <v>28</v>
      </c>
    </row>
    <row r="39" spans="1:5" ht="16.5" customHeight="1">
      <c r="A39" s="31" t="s">
        <v>43</v>
      </c>
      <c r="B39" s="32" t="s">
        <v>95</v>
      </c>
      <c r="C39" s="42" t="s">
        <v>9</v>
      </c>
    </row>
    <row r="40" spans="1:5" ht="16.5" customHeight="1">
      <c r="A40" s="31" t="s">
        <v>43</v>
      </c>
      <c r="B40" s="32" t="s">
        <v>96</v>
      </c>
      <c r="C40" s="42" t="s">
        <v>9</v>
      </c>
      <c r="D40" s="29" t="s">
        <v>10</v>
      </c>
    </row>
    <row r="41" spans="1:5" ht="16.5" customHeight="1">
      <c r="A41" s="31" t="s">
        <v>43</v>
      </c>
      <c r="B41" s="47" t="s">
        <v>97</v>
      </c>
      <c r="C41" s="42" t="s">
        <v>9</v>
      </c>
      <c r="D41" s="46"/>
    </row>
    <row r="42" spans="1:5" ht="16.5" customHeight="1">
      <c r="A42" s="31" t="s">
        <v>43</v>
      </c>
      <c r="B42" s="47" t="s">
        <v>131</v>
      </c>
      <c r="C42" s="42" t="s">
        <v>9</v>
      </c>
      <c r="D42" s="46" t="s">
        <v>10</v>
      </c>
    </row>
    <row r="43" spans="1:5" ht="16.5" customHeight="1">
      <c r="A43" s="31" t="s">
        <v>43</v>
      </c>
      <c r="B43" s="44" t="s">
        <v>98</v>
      </c>
      <c r="C43" s="42" t="s">
        <v>9</v>
      </c>
      <c r="D43" s="46"/>
    </row>
    <row r="44" spans="1:5" ht="16.5" customHeight="1">
      <c r="A44" s="31" t="s">
        <v>43</v>
      </c>
      <c r="B44" s="44" t="s">
        <v>99</v>
      </c>
      <c r="C44" s="42" t="s">
        <v>9</v>
      </c>
      <c r="E44" s="46"/>
    </row>
    <row r="45" spans="1:5" ht="16.5" customHeight="1">
      <c r="A45" s="31" t="s">
        <v>43</v>
      </c>
      <c r="B45" s="48" t="s">
        <v>132</v>
      </c>
      <c r="C45" s="42" t="s">
        <v>9</v>
      </c>
      <c r="D45" s="46" t="s">
        <v>127</v>
      </c>
    </row>
    <row r="46" spans="1:5" ht="16.5" customHeight="1">
      <c r="A46" s="31" t="s">
        <v>45</v>
      </c>
      <c r="B46" s="32" t="s">
        <v>101</v>
      </c>
      <c r="C46" s="42" t="s">
        <v>9</v>
      </c>
      <c r="D46" s="46" t="s">
        <v>59</v>
      </c>
    </row>
    <row r="47" spans="1:5" ht="16.5" customHeight="1">
      <c r="A47" s="31" t="s">
        <v>45</v>
      </c>
      <c r="B47" s="32" t="s">
        <v>102</v>
      </c>
      <c r="C47" s="42" t="s">
        <v>9</v>
      </c>
      <c r="D47" s="46" t="s">
        <v>127</v>
      </c>
    </row>
    <row r="48" spans="1:5" ht="16.5" customHeight="1">
      <c r="A48" s="31" t="s">
        <v>45</v>
      </c>
      <c r="B48" s="32" t="s">
        <v>104</v>
      </c>
      <c r="C48" s="42" t="s">
        <v>9</v>
      </c>
      <c r="D48" s="36"/>
    </row>
    <row r="49" spans="1:5" ht="16.5" customHeight="1">
      <c r="A49" s="31" t="s">
        <v>45</v>
      </c>
      <c r="B49" s="44" t="s">
        <v>133</v>
      </c>
      <c r="C49" s="42" t="s">
        <v>9</v>
      </c>
      <c r="D49" s="46" t="s">
        <v>59</v>
      </c>
    </row>
    <row r="50" spans="1:5" ht="16.5" customHeight="1">
      <c r="A50" s="31" t="s">
        <v>51</v>
      </c>
      <c r="B50" s="32" t="s">
        <v>114</v>
      </c>
      <c r="C50" s="42" t="s">
        <v>9</v>
      </c>
      <c r="D50" s="36" t="s">
        <v>10</v>
      </c>
      <c r="E50" s="49"/>
    </row>
    <row r="51" spans="1:5" ht="16.5" customHeight="1">
      <c r="A51" s="31" t="s">
        <v>51</v>
      </c>
      <c r="B51" s="32" t="s">
        <v>117</v>
      </c>
      <c r="C51" s="42" t="s">
        <v>9</v>
      </c>
      <c r="D51" s="33" t="s">
        <v>10</v>
      </c>
    </row>
    <row r="52" spans="1:5" ht="16.5" customHeight="1">
      <c r="A52" s="31" t="s">
        <v>51</v>
      </c>
      <c r="B52" s="32" t="s">
        <v>120</v>
      </c>
      <c r="C52" s="42" t="s">
        <v>9</v>
      </c>
      <c r="D52" s="29" t="s">
        <v>88</v>
      </c>
    </row>
    <row r="53" spans="1:5" ht="16" customHeight="1">
      <c r="A53" s="37" t="s">
        <v>16</v>
      </c>
      <c r="B53" s="38" t="s">
        <v>134</v>
      </c>
      <c r="C53" s="50" t="s">
        <v>9</v>
      </c>
      <c r="D53" s="33" t="s">
        <v>59</v>
      </c>
    </row>
    <row r="54" spans="1:5" ht="16.5" customHeight="1">
      <c r="A54" s="58" t="s">
        <v>7</v>
      </c>
      <c r="B54" s="59" t="s">
        <v>189</v>
      </c>
      <c r="C54" s="60" t="s">
        <v>9</v>
      </c>
    </row>
    <row r="55" spans="1:5" ht="16.5" customHeight="1">
      <c r="A55" s="58" t="s">
        <v>40</v>
      </c>
      <c r="B55" s="59" t="s">
        <v>190</v>
      </c>
      <c r="C55" s="60" t="s">
        <v>9</v>
      </c>
    </row>
    <row r="56" spans="1:5" ht="16.5" customHeight="1">
      <c r="A56" s="58" t="s">
        <v>45</v>
      </c>
      <c r="B56" s="59" t="s">
        <v>191</v>
      </c>
      <c r="C56" s="60" t="s">
        <v>9</v>
      </c>
    </row>
    <row r="57" spans="1:5" ht="16.5" customHeight="1">
      <c r="A57" s="58" t="s">
        <v>45</v>
      </c>
      <c r="B57" s="59" t="s">
        <v>192</v>
      </c>
      <c r="C57" s="60" t="s">
        <v>9</v>
      </c>
    </row>
  </sheetData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2025月报">
    <outlinePr summaryBelow="0" summaryRight="0"/>
  </sheetPr>
  <dimension ref="A1:T207"/>
  <sheetViews>
    <sheetView workbookViewId="0">
      <pane xSplit="2" ySplit="2" topLeftCell="C3" activePane="bottomRight" state="frozen"/>
      <selection pane="topRight"/>
      <selection pane="bottomLeft"/>
      <selection pane="bottomRight" activeCell="C3" sqref="C3"/>
    </sheetView>
  </sheetViews>
  <sheetFormatPr baseColWidth="10" defaultRowHeight="16"/>
  <cols>
    <col min="1" max="1" width="6.33203125" style="53" customWidth="1"/>
    <col min="2" max="2" width="11.83203125" style="53" customWidth="1"/>
    <col min="3" max="5" width="3.1640625" style="17" customWidth="1"/>
    <col min="6" max="11" width="3.1640625" style="53" customWidth="1"/>
    <col min="12" max="14" width="3.83203125" style="53" customWidth="1"/>
    <col min="15" max="15" width="3.6640625" style="53" customWidth="1"/>
    <col min="19" max="19" width="7.6640625" style="53" customWidth="1"/>
    <col min="20" max="20" width="2.83203125" style="53" customWidth="1"/>
  </cols>
  <sheetData>
    <row r="1" spans="1:20" ht="22.5" customHeight="1">
      <c r="A1" s="55" t="s">
        <v>135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7"/>
      <c r="S1" s="1"/>
      <c r="T1" s="2"/>
    </row>
    <row r="2" spans="1:20" ht="16.5" customHeight="1">
      <c r="A2" s="3" t="s">
        <v>0</v>
      </c>
      <c r="B2" s="3" t="s">
        <v>1</v>
      </c>
      <c r="C2" s="4" t="s">
        <v>136</v>
      </c>
      <c r="D2" s="4" t="s">
        <v>137</v>
      </c>
      <c r="E2" s="5" t="s">
        <v>138</v>
      </c>
      <c r="F2" s="4" t="s">
        <v>139</v>
      </c>
      <c r="G2" s="4" t="s">
        <v>140</v>
      </c>
      <c r="H2" s="4" t="s">
        <v>141</v>
      </c>
      <c r="I2" s="4" t="s">
        <v>142</v>
      </c>
      <c r="J2" s="4" t="s">
        <v>143</v>
      </c>
      <c r="K2" s="4" t="s">
        <v>144</v>
      </c>
      <c r="L2" s="4" t="s">
        <v>145</v>
      </c>
      <c r="M2" s="4" t="s">
        <v>146</v>
      </c>
      <c r="N2" s="4" t="s">
        <v>147</v>
      </c>
      <c r="O2" s="4" t="s">
        <v>148</v>
      </c>
      <c r="S2" s="6" t="s">
        <v>5</v>
      </c>
      <c r="T2" s="7">
        <f>SUM(T3:T108)</f>
        <v>48</v>
      </c>
    </row>
    <row r="3" spans="1:20" ht="16.5" customHeight="1">
      <c r="A3" s="8" t="s">
        <v>7</v>
      </c>
      <c r="B3" s="8" t="s">
        <v>8</v>
      </c>
      <c r="C3" s="9"/>
      <c r="D3" s="9"/>
      <c r="E3" s="9">
        <v>1</v>
      </c>
      <c r="F3" s="9">
        <v>1</v>
      </c>
      <c r="G3" s="9">
        <v>1</v>
      </c>
      <c r="H3" s="10"/>
      <c r="I3" s="10"/>
      <c r="J3" s="10"/>
      <c r="K3" s="10"/>
      <c r="L3" s="10"/>
      <c r="M3" s="10"/>
      <c r="N3" s="10"/>
      <c r="O3" s="10">
        <f t="shared" ref="O3:O8" si="0">SUM(C3:N3)</f>
        <v>3</v>
      </c>
      <c r="S3" s="11" t="s">
        <v>7</v>
      </c>
      <c r="T3" s="12">
        <f t="shared" ref="T3:T8" si="1">COUNTIF($A:$A,$S3)</f>
        <v>4</v>
      </c>
    </row>
    <row r="4" spans="1:20" ht="16.5" customHeight="1">
      <c r="A4" s="8" t="s">
        <v>7</v>
      </c>
      <c r="B4" s="8" t="s">
        <v>13</v>
      </c>
      <c r="C4" s="9">
        <v>1</v>
      </c>
      <c r="D4" s="13"/>
      <c r="E4" s="13"/>
      <c r="F4" s="9">
        <v>1</v>
      </c>
      <c r="G4" s="9">
        <v>1</v>
      </c>
      <c r="H4" s="10"/>
      <c r="I4" s="9">
        <v>1</v>
      </c>
      <c r="J4" s="10"/>
      <c r="K4" s="10"/>
      <c r="L4" s="10"/>
      <c r="M4" s="10"/>
      <c r="N4" s="10"/>
      <c r="O4" s="10">
        <f t="shared" si="0"/>
        <v>4</v>
      </c>
      <c r="S4" s="11" t="s">
        <v>16</v>
      </c>
      <c r="T4" s="12">
        <f t="shared" si="1"/>
        <v>4</v>
      </c>
    </row>
    <row r="5" spans="1:20" ht="16.5" customHeight="1">
      <c r="A5" s="8" t="s">
        <v>7</v>
      </c>
      <c r="B5" s="8" t="s">
        <v>18</v>
      </c>
      <c r="C5" s="9"/>
      <c r="D5" s="9"/>
      <c r="E5" s="9"/>
      <c r="F5" s="10"/>
      <c r="G5" s="10"/>
      <c r="H5" s="10"/>
      <c r="I5" s="10"/>
      <c r="J5" s="10"/>
      <c r="K5" s="10"/>
      <c r="L5" s="10"/>
      <c r="M5" s="10"/>
      <c r="N5" s="10"/>
      <c r="O5" s="10">
        <f t="shared" si="0"/>
        <v>0</v>
      </c>
      <c r="S5" s="11" t="s">
        <v>20</v>
      </c>
      <c r="T5" s="12">
        <f t="shared" si="1"/>
        <v>5</v>
      </c>
    </row>
    <row r="6" spans="1:20" ht="16.5" customHeight="1">
      <c r="A6" s="8" t="s">
        <v>7</v>
      </c>
      <c r="B6" s="8" t="s">
        <v>22</v>
      </c>
      <c r="C6" s="9"/>
      <c r="D6" s="9"/>
      <c r="E6" s="9">
        <v>1</v>
      </c>
      <c r="F6" s="9">
        <v>1</v>
      </c>
      <c r="G6" s="9">
        <v>1</v>
      </c>
      <c r="H6" s="9">
        <v>1</v>
      </c>
      <c r="I6" s="10"/>
      <c r="J6" s="10"/>
      <c r="K6" s="10"/>
      <c r="L6" s="10"/>
      <c r="M6" s="10"/>
      <c r="N6" s="10"/>
      <c r="O6" s="10">
        <f t="shared" si="0"/>
        <v>4</v>
      </c>
      <c r="S6" s="11" t="s">
        <v>25</v>
      </c>
      <c r="T6" s="12">
        <f t="shared" si="1"/>
        <v>3</v>
      </c>
    </row>
    <row r="7" spans="1:20" ht="16.5" customHeight="1">
      <c r="A7" s="8" t="s">
        <v>16</v>
      </c>
      <c r="B7" s="8" t="s">
        <v>31</v>
      </c>
      <c r="C7" s="9">
        <v>1</v>
      </c>
      <c r="D7" s="9"/>
      <c r="E7" s="9"/>
      <c r="F7" s="10"/>
      <c r="G7" s="10"/>
      <c r="H7" s="10"/>
      <c r="I7" s="10"/>
      <c r="J7" s="10"/>
      <c r="K7" s="10"/>
      <c r="L7" s="10"/>
      <c r="M7" s="10"/>
      <c r="N7" s="10"/>
      <c r="O7" s="10">
        <f t="shared" si="0"/>
        <v>1</v>
      </c>
      <c r="S7" s="11" t="s">
        <v>29</v>
      </c>
      <c r="T7" s="12">
        <f t="shared" si="1"/>
        <v>5</v>
      </c>
    </row>
    <row r="8" spans="1:20" ht="16.5" customHeight="1">
      <c r="A8" s="8" t="s">
        <v>16</v>
      </c>
      <c r="B8" s="8" t="s">
        <v>35</v>
      </c>
      <c r="C8" s="9"/>
      <c r="D8" s="9"/>
      <c r="E8" s="9"/>
      <c r="F8" s="10"/>
      <c r="G8" s="10"/>
      <c r="H8" s="10"/>
      <c r="I8" s="10"/>
      <c r="J8" s="10"/>
      <c r="K8" s="10"/>
      <c r="L8" s="10"/>
      <c r="M8" s="10"/>
      <c r="N8" s="10"/>
      <c r="O8" s="10">
        <f t="shared" si="0"/>
        <v>0</v>
      </c>
      <c r="S8" s="11" t="s">
        <v>37</v>
      </c>
      <c r="T8" s="12">
        <f t="shared" si="1"/>
        <v>2</v>
      </c>
    </row>
    <row r="9" spans="1:20" ht="16.5" customHeight="1">
      <c r="A9" s="8" t="s">
        <v>16</v>
      </c>
      <c r="B9" s="8" t="s">
        <v>134</v>
      </c>
      <c r="C9" s="9"/>
      <c r="D9" s="9"/>
      <c r="E9" s="9"/>
      <c r="F9" s="10"/>
      <c r="G9" s="10"/>
      <c r="H9" s="10"/>
      <c r="I9" s="10"/>
      <c r="J9" s="10"/>
      <c r="K9" s="10">
        <v>1</v>
      </c>
      <c r="L9" s="10"/>
      <c r="M9" s="10"/>
      <c r="N9" s="10"/>
      <c r="O9" s="10"/>
      <c r="S9" s="14"/>
      <c r="T9" s="2"/>
    </row>
    <row r="10" spans="1:20" ht="16.5" customHeight="1">
      <c r="A10" s="8" t="s">
        <v>16</v>
      </c>
      <c r="B10" s="8" t="s">
        <v>38</v>
      </c>
      <c r="C10" s="9">
        <v>1</v>
      </c>
      <c r="D10" s="9"/>
      <c r="E10" s="9"/>
      <c r="F10" s="10"/>
      <c r="G10" s="10"/>
      <c r="H10" s="10"/>
      <c r="I10" s="10"/>
      <c r="J10" s="10"/>
      <c r="K10" s="10"/>
      <c r="L10" s="10"/>
      <c r="M10" s="10"/>
      <c r="N10" s="10"/>
      <c r="O10" s="10">
        <f>SUM(C10:N10)</f>
        <v>1</v>
      </c>
      <c r="S10" s="11" t="s">
        <v>40</v>
      </c>
      <c r="T10" s="12">
        <f>COUNTIF($A:$A,$S10)</f>
        <v>6</v>
      </c>
    </row>
    <row r="11" spans="1:20" ht="16.5" customHeight="1">
      <c r="A11" s="8" t="s">
        <v>20</v>
      </c>
      <c r="B11" s="8" t="s">
        <v>41</v>
      </c>
      <c r="C11" s="15"/>
      <c r="D11" s="15"/>
      <c r="E11" s="15"/>
      <c r="F11" s="10"/>
      <c r="G11" s="10"/>
      <c r="H11" s="10"/>
      <c r="I11" s="10"/>
      <c r="J11" s="10"/>
      <c r="K11" s="10"/>
      <c r="L11" s="10"/>
      <c r="M11" s="10"/>
      <c r="N11" s="10"/>
      <c r="O11" s="10">
        <f>SUM(C11:N11)</f>
        <v>0</v>
      </c>
      <c r="S11" s="11" t="s">
        <v>43</v>
      </c>
      <c r="T11" s="12">
        <f>COUNTIF($A:$A,$S11)</f>
        <v>8</v>
      </c>
    </row>
    <row r="12" spans="1:20" ht="16.5" customHeight="1">
      <c r="A12" s="8" t="s">
        <v>20</v>
      </c>
      <c r="B12" s="8" t="s">
        <v>44</v>
      </c>
      <c r="C12" s="13"/>
      <c r="D12" s="13"/>
      <c r="E12" s="13"/>
      <c r="F12" s="10"/>
      <c r="G12" s="10"/>
      <c r="H12" s="10"/>
      <c r="I12" s="10"/>
      <c r="J12" s="10"/>
      <c r="K12" s="10"/>
      <c r="L12" s="10"/>
      <c r="M12" s="10"/>
      <c r="N12" s="10"/>
      <c r="O12" s="10">
        <f>SUM(C12:N12)</f>
        <v>0</v>
      </c>
      <c r="S12" s="11" t="s">
        <v>45</v>
      </c>
      <c r="T12" s="12">
        <f>COUNTIF($A:$A,$S12)</f>
        <v>4</v>
      </c>
    </row>
    <row r="13" spans="1:20" ht="16.5" customHeight="1">
      <c r="A13" s="8" t="s">
        <v>20</v>
      </c>
      <c r="B13" s="8" t="s">
        <v>46</v>
      </c>
      <c r="C13" s="9"/>
      <c r="D13" s="9"/>
      <c r="E13" s="9"/>
      <c r="F13" s="10"/>
      <c r="G13" s="10"/>
      <c r="H13" s="10"/>
      <c r="I13" s="10">
        <v>1</v>
      </c>
      <c r="J13" s="10"/>
      <c r="K13" s="10"/>
      <c r="L13" s="10"/>
      <c r="M13" s="10"/>
      <c r="N13" s="10"/>
      <c r="O13" s="10">
        <f>SUM(C13:N13)</f>
        <v>1</v>
      </c>
      <c r="S13" s="11" t="s">
        <v>49</v>
      </c>
      <c r="T13" s="12">
        <f>COUNTIF($A:$A,$S13)</f>
        <v>4</v>
      </c>
    </row>
    <row r="14" spans="1:20" ht="16.5" customHeight="1">
      <c r="A14" s="8" t="s">
        <v>20</v>
      </c>
      <c r="B14" s="8" t="s">
        <v>50</v>
      </c>
      <c r="C14" s="9"/>
      <c r="D14" s="9"/>
      <c r="E14" s="9"/>
      <c r="F14" s="10"/>
      <c r="G14" s="10"/>
      <c r="H14" s="10"/>
      <c r="I14" s="10"/>
      <c r="J14" s="10"/>
      <c r="K14" s="10"/>
      <c r="L14" s="10"/>
      <c r="M14" s="10"/>
      <c r="N14" s="10"/>
      <c r="O14" s="10">
        <f>SUM(C14:N14)</f>
        <v>0</v>
      </c>
      <c r="S14" s="11" t="s">
        <v>51</v>
      </c>
      <c r="T14" s="12">
        <f>COUNTIF($A:$A,$S14)</f>
        <v>3</v>
      </c>
    </row>
    <row r="15" spans="1:20" ht="16.5" customHeight="1">
      <c r="A15" s="8" t="s">
        <v>20</v>
      </c>
      <c r="B15" s="8" t="s">
        <v>149</v>
      </c>
      <c r="C15" s="9"/>
      <c r="D15" s="9"/>
      <c r="E15" s="9"/>
      <c r="F15" s="10"/>
      <c r="G15" s="10"/>
      <c r="H15" s="10"/>
      <c r="I15" s="10"/>
      <c r="J15" s="10"/>
      <c r="K15" s="10">
        <v>1</v>
      </c>
      <c r="L15" s="10"/>
      <c r="M15" s="10"/>
      <c r="N15" s="10"/>
      <c r="O15" s="10"/>
    </row>
    <row r="16" spans="1:20" ht="16.5" customHeight="1">
      <c r="A16" s="8" t="s">
        <v>25</v>
      </c>
      <c r="B16" s="8" t="s">
        <v>54</v>
      </c>
      <c r="C16" s="9"/>
      <c r="D16" s="9"/>
      <c r="E16" s="9"/>
      <c r="F16" s="10"/>
      <c r="G16" s="10"/>
      <c r="H16" s="10"/>
      <c r="I16" s="10"/>
      <c r="J16" s="10"/>
      <c r="K16" s="10"/>
      <c r="L16" s="10"/>
      <c r="M16" s="10"/>
      <c r="N16" s="10"/>
      <c r="O16" s="10">
        <f t="shared" ref="O16:O30" si="2">SUM(C16:N16)</f>
        <v>0</v>
      </c>
    </row>
    <row r="17" spans="1:15" ht="16.5" customHeight="1">
      <c r="A17" s="8" t="s">
        <v>25</v>
      </c>
      <c r="B17" s="8" t="s">
        <v>55</v>
      </c>
      <c r="C17" s="9"/>
      <c r="D17" s="9"/>
      <c r="E17" s="9"/>
      <c r="F17" s="10"/>
      <c r="G17" s="10"/>
      <c r="H17" s="10"/>
      <c r="I17" s="10"/>
      <c r="J17" s="10"/>
      <c r="K17" s="10"/>
      <c r="L17" s="10"/>
      <c r="M17" s="10"/>
      <c r="N17" s="10"/>
      <c r="O17" s="10">
        <f t="shared" si="2"/>
        <v>0</v>
      </c>
    </row>
    <row r="18" spans="1:15" ht="16.5" customHeight="1">
      <c r="A18" s="8" t="s">
        <v>25</v>
      </c>
      <c r="B18" s="8" t="s">
        <v>56</v>
      </c>
      <c r="C18" s="9"/>
      <c r="D18" s="9"/>
      <c r="E18" s="9"/>
      <c r="F18" s="10"/>
      <c r="G18" s="10"/>
      <c r="H18" s="10"/>
      <c r="I18" s="10"/>
      <c r="J18" s="10"/>
      <c r="K18" s="10"/>
      <c r="L18" s="10"/>
      <c r="M18" s="10"/>
      <c r="N18" s="10"/>
      <c r="O18" s="10">
        <f t="shared" si="2"/>
        <v>0</v>
      </c>
    </row>
    <row r="19" spans="1:15" ht="16.5" customHeight="1">
      <c r="A19" s="8" t="s">
        <v>29</v>
      </c>
      <c r="B19" s="8" t="s">
        <v>58</v>
      </c>
      <c r="C19" s="9"/>
      <c r="D19" s="9"/>
      <c r="E19" s="9">
        <v>1</v>
      </c>
      <c r="F19" s="10"/>
      <c r="G19" s="10"/>
      <c r="H19" s="10"/>
      <c r="I19" s="10"/>
      <c r="J19" s="10"/>
      <c r="K19" s="10"/>
      <c r="L19" s="10"/>
      <c r="M19" s="10"/>
      <c r="N19" s="10"/>
      <c r="O19" s="10">
        <f t="shared" si="2"/>
        <v>1</v>
      </c>
    </row>
    <row r="20" spans="1:15" ht="16.5" customHeight="1">
      <c r="A20" s="8" t="s">
        <v>29</v>
      </c>
      <c r="B20" s="8" t="s">
        <v>60</v>
      </c>
      <c r="C20" s="13"/>
      <c r="D20" s="13"/>
      <c r="E20" s="13"/>
      <c r="F20" s="10"/>
      <c r="G20" s="9">
        <v>1</v>
      </c>
      <c r="H20" s="10"/>
      <c r="I20" s="10"/>
      <c r="J20" s="10"/>
      <c r="K20" s="10"/>
      <c r="L20" s="10"/>
      <c r="M20" s="10"/>
      <c r="N20" s="10"/>
      <c r="O20" s="10">
        <f t="shared" si="2"/>
        <v>1</v>
      </c>
    </row>
    <row r="21" spans="1:15" ht="16.5" customHeight="1">
      <c r="A21" s="8" t="s">
        <v>29</v>
      </c>
      <c r="B21" s="8" t="s">
        <v>61</v>
      </c>
      <c r="C21" s="9"/>
      <c r="D21" s="9"/>
      <c r="E21" s="9">
        <v>1</v>
      </c>
      <c r="F21" s="10"/>
      <c r="G21" s="9">
        <v>1</v>
      </c>
      <c r="H21" s="9">
        <v>1</v>
      </c>
      <c r="I21" s="10"/>
      <c r="J21" s="10">
        <v>1</v>
      </c>
      <c r="K21" s="10"/>
      <c r="L21" s="10"/>
      <c r="M21" s="10"/>
      <c r="N21" s="10"/>
      <c r="O21" s="10">
        <f t="shared" si="2"/>
        <v>4</v>
      </c>
    </row>
    <row r="22" spans="1:15" ht="16.5" customHeight="1">
      <c r="A22" s="8" t="s">
        <v>29</v>
      </c>
      <c r="B22" s="8" t="s">
        <v>63</v>
      </c>
      <c r="C22" s="9"/>
      <c r="D22" s="9"/>
      <c r="E22" s="9"/>
      <c r="F22" s="10"/>
      <c r="G22" s="10"/>
      <c r="H22" s="10"/>
      <c r="I22" s="10"/>
      <c r="J22" s="10"/>
      <c r="K22" s="10"/>
      <c r="L22" s="10"/>
      <c r="M22" s="10"/>
      <c r="N22" s="10"/>
      <c r="O22" s="10">
        <f t="shared" si="2"/>
        <v>0</v>
      </c>
    </row>
    <row r="23" spans="1:15" ht="16.5" customHeight="1">
      <c r="A23" s="8" t="s">
        <v>29</v>
      </c>
      <c r="B23" s="8" t="s">
        <v>65</v>
      </c>
      <c r="C23" s="9"/>
      <c r="D23" s="9"/>
      <c r="E23" s="9"/>
      <c r="F23" s="10"/>
      <c r="G23" s="10"/>
      <c r="H23" s="10"/>
      <c r="I23" s="10"/>
      <c r="J23" s="10">
        <v>1</v>
      </c>
      <c r="K23" s="10"/>
      <c r="L23" s="10"/>
      <c r="M23" s="10"/>
      <c r="N23" s="10"/>
      <c r="O23" s="10">
        <f t="shared" si="2"/>
        <v>1</v>
      </c>
    </row>
    <row r="24" spans="1:15" ht="16.5" customHeight="1">
      <c r="A24" s="8" t="s">
        <v>34</v>
      </c>
      <c r="B24" s="8" t="s">
        <v>67</v>
      </c>
      <c r="C24" s="9">
        <v>1</v>
      </c>
      <c r="D24" s="9"/>
      <c r="E24" s="9">
        <v>1</v>
      </c>
      <c r="F24" s="10"/>
      <c r="G24" s="10"/>
      <c r="H24" s="9">
        <v>1</v>
      </c>
      <c r="I24" s="10">
        <v>1</v>
      </c>
      <c r="J24" s="10"/>
      <c r="K24" s="10">
        <v>1</v>
      </c>
      <c r="L24" s="10"/>
      <c r="M24" s="10"/>
      <c r="N24" s="10"/>
      <c r="O24" s="10">
        <f t="shared" si="2"/>
        <v>5</v>
      </c>
    </row>
    <row r="25" spans="1:15" ht="16.5" customHeight="1">
      <c r="A25" s="8" t="s">
        <v>34</v>
      </c>
      <c r="B25" s="8" t="s">
        <v>68</v>
      </c>
      <c r="C25" s="9"/>
      <c r="D25" s="9"/>
      <c r="E25" s="9">
        <v>1</v>
      </c>
      <c r="F25" s="10"/>
      <c r="G25" s="10"/>
      <c r="H25" s="10"/>
      <c r="I25" s="10"/>
      <c r="J25" s="10"/>
      <c r="K25" s="10"/>
      <c r="L25" s="10"/>
      <c r="M25" s="10"/>
      <c r="N25" s="10"/>
      <c r="O25" s="10">
        <f t="shared" si="2"/>
        <v>1</v>
      </c>
    </row>
    <row r="26" spans="1:15" ht="16.5" customHeight="1">
      <c r="A26" s="8" t="s">
        <v>34</v>
      </c>
      <c r="B26" s="8" t="s">
        <v>70</v>
      </c>
      <c r="C26" s="9"/>
      <c r="D26" s="9"/>
      <c r="E26" s="9">
        <v>1</v>
      </c>
      <c r="F26" s="10"/>
      <c r="G26" s="10"/>
      <c r="H26" s="10"/>
      <c r="I26" s="10">
        <v>1</v>
      </c>
      <c r="J26" s="10"/>
      <c r="K26" s="10"/>
      <c r="L26" s="10"/>
      <c r="M26" s="10"/>
      <c r="N26" s="10"/>
      <c r="O26" s="10">
        <f t="shared" si="2"/>
        <v>2</v>
      </c>
    </row>
    <row r="27" spans="1:15" ht="16.5" customHeight="1">
      <c r="A27" s="8" t="s">
        <v>37</v>
      </c>
      <c r="B27" s="8" t="s">
        <v>71</v>
      </c>
      <c r="C27" s="9"/>
      <c r="D27" s="9"/>
      <c r="E27" s="9">
        <v>1</v>
      </c>
      <c r="F27" s="10"/>
      <c r="G27" s="9">
        <v>1</v>
      </c>
      <c r="H27" s="10"/>
      <c r="I27" s="10"/>
      <c r="J27" s="10">
        <v>1</v>
      </c>
      <c r="K27" s="10"/>
      <c r="L27" s="10"/>
      <c r="M27" s="10"/>
      <c r="N27" s="10"/>
      <c r="O27" s="10">
        <f t="shared" si="2"/>
        <v>3</v>
      </c>
    </row>
    <row r="28" spans="1:15" ht="16.5" customHeight="1">
      <c r="A28" s="8" t="s">
        <v>37</v>
      </c>
      <c r="B28" s="8" t="s">
        <v>74</v>
      </c>
      <c r="C28" s="9"/>
      <c r="D28" s="9"/>
      <c r="E28" s="9">
        <v>1</v>
      </c>
      <c r="F28" s="10"/>
      <c r="G28" s="9">
        <v>1</v>
      </c>
      <c r="H28" s="10"/>
      <c r="I28" s="10"/>
      <c r="J28" s="10"/>
      <c r="K28" s="10"/>
      <c r="L28" s="10"/>
      <c r="M28" s="10"/>
      <c r="N28" s="10"/>
      <c r="O28" s="10">
        <f t="shared" si="2"/>
        <v>2</v>
      </c>
    </row>
    <row r="29" spans="1:15" ht="16.5" customHeight="1">
      <c r="A29" s="8" t="s">
        <v>40</v>
      </c>
      <c r="B29" s="8" t="s">
        <v>78</v>
      </c>
      <c r="C29" s="13"/>
      <c r="D29" s="13"/>
      <c r="E29" s="13"/>
      <c r="F29" s="10"/>
      <c r="G29" s="10"/>
      <c r="H29" s="10"/>
      <c r="I29" s="10"/>
      <c r="J29" s="10"/>
      <c r="K29" s="10"/>
      <c r="L29" s="10"/>
      <c r="M29" s="10"/>
      <c r="N29" s="10"/>
      <c r="O29" s="10">
        <f t="shared" si="2"/>
        <v>0</v>
      </c>
    </row>
    <row r="30" spans="1:15" ht="16.5" customHeight="1">
      <c r="A30" s="8" t="s">
        <v>40</v>
      </c>
      <c r="B30" s="8" t="s">
        <v>81</v>
      </c>
      <c r="C30" s="9"/>
      <c r="D30" s="9"/>
      <c r="E30" s="9">
        <v>1</v>
      </c>
      <c r="F30" s="10"/>
      <c r="G30" s="10"/>
      <c r="H30" s="10"/>
      <c r="I30" s="10">
        <v>1</v>
      </c>
      <c r="J30" s="10">
        <v>1</v>
      </c>
      <c r="K30" s="10">
        <v>1</v>
      </c>
      <c r="L30" s="10"/>
      <c r="M30" s="10"/>
      <c r="N30" s="10"/>
      <c r="O30" s="10">
        <f t="shared" si="2"/>
        <v>4</v>
      </c>
    </row>
    <row r="31" spans="1:15" ht="16.5" customHeight="1">
      <c r="A31" s="8" t="s">
        <v>40</v>
      </c>
      <c r="B31" s="8" t="s">
        <v>79</v>
      </c>
      <c r="C31" s="9"/>
      <c r="D31" s="9"/>
      <c r="E31" s="9"/>
      <c r="F31" s="10"/>
      <c r="G31" s="10"/>
      <c r="H31" s="10"/>
      <c r="I31" s="10"/>
      <c r="J31" s="10"/>
      <c r="K31" s="10">
        <v>1</v>
      </c>
      <c r="L31" s="10"/>
      <c r="M31" s="10"/>
      <c r="N31" s="10"/>
      <c r="O31" s="10"/>
    </row>
    <row r="32" spans="1:15" ht="16.5" customHeight="1">
      <c r="A32" s="8" t="s">
        <v>40</v>
      </c>
      <c r="B32" s="8" t="s">
        <v>83</v>
      </c>
      <c r="C32" s="9"/>
      <c r="D32" s="9"/>
      <c r="E32" s="9">
        <v>1</v>
      </c>
      <c r="F32" s="10"/>
      <c r="G32" s="10"/>
      <c r="H32" s="10"/>
      <c r="I32" s="10"/>
      <c r="J32" s="10">
        <v>1</v>
      </c>
      <c r="K32" s="10"/>
      <c r="L32" s="10"/>
      <c r="M32" s="10"/>
      <c r="N32" s="10"/>
      <c r="O32" s="10">
        <f>SUM(C32:N32)</f>
        <v>2</v>
      </c>
    </row>
    <row r="33" spans="1:15" ht="16.5" customHeight="1">
      <c r="A33" s="8" t="s">
        <v>40</v>
      </c>
      <c r="B33" s="8" t="s">
        <v>85</v>
      </c>
      <c r="C33" s="9"/>
      <c r="D33" s="9"/>
      <c r="E33" s="9">
        <v>1</v>
      </c>
      <c r="F33" s="10"/>
      <c r="G33" s="10"/>
      <c r="H33" s="9">
        <v>1</v>
      </c>
      <c r="I33" s="10"/>
      <c r="J33" s="10"/>
      <c r="K33" s="10"/>
      <c r="L33" s="10"/>
      <c r="M33" s="10"/>
      <c r="N33" s="10"/>
      <c r="O33" s="10">
        <f>SUM(C33:N33)</f>
        <v>2</v>
      </c>
    </row>
    <row r="34" spans="1:15" ht="16.5" customHeight="1">
      <c r="A34" s="8" t="s">
        <v>40</v>
      </c>
      <c r="B34" s="8" t="s">
        <v>150</v>
      </c>
      <c r="C34" s="9"/>
      <c r="D34" s="9"/>
      <c r="E34" s="9"/>
      <c r="F34" s="10"/>
      <c r="G34" s="10"/>
      <c r="H34" s="10"/>
      <c r="I34" s="10"/>
      <c r="J34" s="10"/>
      <c r="K34" s="10"/>
      <c r="L34" s="10"/>
      <c r="M34" s="10"/>
      <c r="N34" s="10"/>
      <c r="O34" s="10"/>
    </row>
    <row r="35" spans="1:15" ht="16.5" customHeight="1">
      <c r="A35" s="8" t="s">
        <v>43</v>
      </c>
      <c r="B35" s="8" t="s">
        <v>87</v>
      </c>
      <c r="C35" s="9"/>
      <c r="D35" s="9"/>
      <c r="E35" s="9">
        <v>1</v>
      </c>
      <c r="F35" s="10"/>
      <c r="G35" s="10"/>
      <c r="H35" s="10"/>
      <c r="I35" s="10"/>
      <c r="J35" s="10"/>
      <c r="K35" s="10"/>
      <c r="L35" s="10"/>
      <c r="M35" s="10"/>
      <c r="N35" s="10"/>
      <c r="O35" s="10">
        <f t="shared" ref="O35:O53" si="3">SUM(C35:N35)</f>
        <v>1</v>
      </c>
    </row>
    <row r="36" spans="1:15" ht="16.5" customHeight="1">
      <c r="A36" s="8" t="s">
        <v>43</v>
      </c>
      <c r="B36" s="8" t="s">
        <v>90</v>
      </c>
      <c r="C36" s="9"/>
      <c r="D36" s="9"/>
      <c r="E36" s="9">
        <v>1</v>
      </c>
      <c r="F36" s="10"/>
      <c r="G36" s="10"/>
      <c r="H36" s="10"/>
      <c r="I36" s="10"/>
      <c r="J36" s="10"/>
      <c r="K36" s="10"/>
      <c r="L36" s="10"/>
      <c r="M36" s="10"/>
      <c r="N36" s="10"/>
      <c r="O36" s="10">
        <f t="shared" si="3"/>
        <v>1</v>
      </c>
    </row>
    <row r="37" spans="1:15" ht="16.5" customHeight="1">
      <c r="A37" s="8" t="s">
        <v>43</v>
      </c>
      <c r="B37" s="8" t="s">
        <v>91</v>
      </c>
      <c r="C37" s="9"/>
      <c r="D37" s="9"/>
      <c r="E37" s="9">
        <v>1</v>
      </c>
      <c r="F37" s="9">
        <v>1</v>
      </c>
      <c r="G37" s="10"/>
      <c r="H37" s="9">
        <v>1</v>
      </c>
      <c r="I37" s="10"/>
      <c r="J37" s="10"/>
      <c r="K37" s="10"/>
      <c r="L37" s="10"/>
      <c r="M37" s="10"/>
      <c r="N37" s="10"/>
      <c r="O37" s="10">
        <f t="shared" si="3"/>
        <v>3</v>
      </c>
    </row>
    <row r="38" spans="1:15" ht="16.5" customHeight="1">
      <c r="A38" s="8" t="s">
        <v>43</v>
      </c>
      <c r="B38" s="8" t="s">
        <v>93</v>
      </c>
      <c r="C38" s="9"/>
      <c r="D38" s="9"/>
      <c r="E38" s="9">
        <v>1</v>
      </c>
      <c r="F38" s="10"/>
      <c r="G38" s="10"/>
      <c r="H38" s="10"/>
      <c r="I38" s="10"/>
      <c r="J38" s="10"/>
      <c r="K38" s="10"/>
      <c r="L38" s="10"/>
      <c r="M38" s="10"/>
      <c r="N38" s="10"/>
      <c r="O38" s="10">
        <f t="shared" si="3"/>
        <v>1</v>
      </c>
    </row>
    <row r="39" spans="1:15" ht="16.5" customHeight="1">
      <c r="A39" s="8" t="s">
        <v>43</v>
      </c>
      <c r="B39" s="8" t="s">
        <v>95</v>
      </c>
      <c r="C39" s="9"/>
      <c r="D39" s="9"/>
      <c r="E39" s="9"/>
      <c r="F39" s="10"/>
      <c r="G39" s="10"/>
      <c r="H39" s="10"/>
      <c r="I39" s="10"/>
      <c r="J39" s="10"/>
      <c r="K39" s="10"/>
      <c r="L39" s="10"/>
      <c r="M39" s="10"/>
      <c r="N39" s="10"/>
      <c r="O39" s="10">
        <f t="shared" si="3"/>
        <v>0</v>
      </c>
    </row>
    <row r="40" spans="1:15" ht="16.5" customHeight="1">
      <c r="A40" s="8" t="s">
        <v>43</v>
      </c>
      <c r="B40" s="8" t="s">
        <v>96</v>
      </c>
      <c r="C40" s="9"/>
      <c r="D40" s="9"/>
      <c r="E40" s="9"/>
      <c r="F40" s="10"/>
      <c r="G40" s="10"/>
      <c r="H40" s="10"/>
      <c r="I40" s="10"/>
      <c r="J40" s="10"/>
      <c r="K40" s="10"/>
      <c r="L40" s="10"/>
      <c r="M40" s="10"/>
      <c r="N40" s="10"/>
      <c r="O40" s="10">
        <f t="shared" si="3"/>
        <v>0</v>
      </c>
    </row>
    <row r="41" spans="1:15" ht="16.5" customHeight="1">
      <c r="A41" s="8" t="s">
        <v>43</v>
      </c>
      <c r="B41" s="8" t="s">
        <v>98</v>
      </c>
      <c r="C41" s="15"/>
      <c r="D41" s="15"/>
      <c r="E41" s="15"/>
      <c r="F41" s="10"/>
      <c r="G41" s="10"/>
      <c r="H41" s="10"/>
      <c r="I41" s="10"/>
      <c r="J41" s="10"/>
      <c r="K41" s="10"/>
      <c r="L41" s="10"/>
      <c r="M41" s="10"/>
      <c r="N41" s="10"/>
      <c r="O41" s="10">
        <f t="shared" si="3"/>
        <v>0</v>
      </c>
    </row>
    <row r="42" spans="1:15" ht="16.5" customHeight="1">
      <c r="A42" s="8" t="s">
        <v>43</v>
      </c>
      <c r="B42" s="8" t="s">
        <v>99</v>
      </c>
      <c r="C42" s="15"/>
      <c r="D42" s="15"/>
      <c r="E42" s="15"/>
      <c r="F42" s="10"/>
      <c r="G42" s="10"/>
      <c r="H42" s="10"/>
      <c r="I42" s="10"/>
      <c r="J42" s="10"/>
      <c r="K42" s="10"/>
      <c r="L42" s="10"/>
      <c r="M42" s="10"/>
      <c r="N42" s="10"/>
      <c r="O42" s="10">
        <f t="shared" si="3"/>
        <v>0</v>
      </c>
    </row>
    <row r="43" spans="1:15" ht="16.5" customHeight="1">
      <c r="A43" s="8" t="s">
        <v>45</v>
      </c>
      <c r="B43" s="8" t="s">
        <v>101</v>
      </c>
      <c r="C43" s="15"/>
      <c r="D43" s="15"/>
      <c r="E43" s="15"/>
      <c r="F43" s="10"/>
      <c r="G43" s="10"/>
      <c r="H43" s="10"/>
      <c r="I43" s="10"/>
      <c r="J43" s="10"/>
      <c r="K43" s="10"/>
      <c r="L43" s="10"/>
      <c r="M43" s="10"/>
      <c r="N43" s="10"/>
      <c r="O43" s="10">
        <f t="shared" si="3"/>
        <v>0</v>
      </c>
    </row>
    <row r="44" spans="1:15" ht="16.5" customHeight="1">
      <c r="A44" s="8" t="s">
        <v>45</v>
      </c>
      <c r="B44" s="8" t="s">
        <v>102</v>
      </c>
      <c r="C44" s="15"/>
      <c r="D44" s="15"/>
      <c r="E44" s="15"/>
      <c r="F44" s="10"/>
      <c r="G44" s="10"/>
      <c r="H44" s="10"/>
      <c r="I44" s="10"/>
      <c r="J44" s="10"/>
      <c r="K44" s="10"/>
      <c r="L44" s="10"/>
      <c r="M44" s="10"/>
      <c r="N44" s="10"/>
      <c r="O44" s="10">
        <f t="shared" si="3"/>
        <v>0</v>
      </c>
    </row>
    <row r="45" spans="1:15" ht="16.5" customHeight="1">
      <c r="A45" s="8" t="s">
        <v>45</v>
      </c>
      <c r="B45" s="8" t="s">
        <v>104</v>
      </c>
      <c r="C45" s="13"/>
      <c r="D45" s="13"/>
      <c r="E45" s="13"/>
      <c r="F45" s="10"/>
      <c r="G45" s="10"/>
      <c r="H45" s="10"/>
      <c r="I45" s="10"/>
      <c r="J45" s="10"/>
      <c r="K45" s="10"/>
      <c r="L45" s="10"/>
      <c r="M45" s="10"/>
      <c r="N45" s="10"/>
      <c r="O45" s="10">
        <f t="shared" si="3"/>
        <v>0</v>
      </c>
    </row>
    <row r="46" spans="1:15" ht="16.5" customHeight="1">
      <c r="A46" s="8" t="s">
        <v>45</v>
      </c>
      <c r="B46" s="8" t="s">
        <v>106</v>
      </c>
      <c r="C46" s="15"/>
      <c r="D46" s="15"/>
      <c r="E46" s="15"/>
      <c r="F46" s="10"/>
      <c r="G46" s="10"/>
      <c r="H46" s="10"/>
      <c r="I46" s="10"/>
      <c r="J46" s="10"/>
      <c r="K46" s="10"/>
      <c r="L46" s="10"/>
      <c r="M46" s="10"/>
      <c r="N46" s="10"/>
      <c r="O46" s="10">
        <f t="shared" si="3"/>
        <v>0</v>
      </c>
    </row>
    <row r="47" spans="1:15" ht="16.5" customHeight="1">
      <c r="A47" s="8" t="s">
        <v>49</v>
      </c>
      <c r="B47" s="8" t="s">
        <v>107</v>
      </c>
      <c r="C47" s="9">
        <v>1</v>
      </c>
      <c r="D47" s="9"/>
      <c r="E47" s="9">
        <v>1</v>
      </c>
      <c r="F47" s="10"/>
      <c r="G47" s="9">
        <v>1</v>
      </c>
      <c r="H47" s="9">
        <v>1</v>
      </c>
      <c r="I47" s="10">
        <v>1</v>
      </c>
      <c r="J47" s="10"/>
      <c r="K47" s="10"/>
      <c r="L47" s="10"/>
      <c r="M47" s="10"/>
      <c r="N47" s="10"/>
      <c r="O47" s="10">
        <f t="shared" si="3"/>
        <v>5</v>
      </c>
    </row>
    <row r="48" spans="1:15" ht="16.5" customHeight="1">
      <c r="A48" s="8" t="s">
        <v>49</v>
      </c>
      <c r="B48" s="8" t="s">
        <v>110</v>
      </c>
      <c r="C48" s="9"/>
      <c r="D48" s="9"/>
      <c r="E48" s="9">
        <v>1</v>
      </c>
      <c r="F48" s="10"/>
      <c r="G48" s="10"/>
      <c r="H48" s="10"/>
      <c r="I48" s="10"/>
      <c r="J48" s="10"/>
      <c r="K48" s="10"/>
      <c r="L48" s="10"/>
      <c r="M48" s="10"/>
      <c r="N48" s="10"/>
      <c r="O48" s="10">
        <f t="shared" si="3"/>
        <v>1</v>
      </c>
    </row>
    <row r="49" spans="1:15" ht="16.5" customHeight="1">
      <c r="A49" s="8" t="s">
        <v>49</v>
      </c>
      <c r="B49" s="8" t="s">
        <v>111</v>
      </c>
      <c r="C49" s="9">
        <v>1</v>
      </c>
      <c r="D49" s="9"/>
      <c r="E49" s="9"/>
      <c r="F49" s="10"/>
      <c r="G49" s="9">
        <v>1</v>
      </c>
      <c r="H49" s="9">
        <v>1</v>
      </c>
      <c r="I49" s="10"/>
      <c r="J49" s="10">
        <v>1</v>
      </c>
      <c r="K49" s="10"/>
      <c r="L49" s="10"/>
      <c r="M49" s="10"/>
      <c r="N49" s="10"/>
      <c r="O49" s="10">
        <f t="shared" si="3"/>
        <v>4</v>
      </c>
    </row>
    <row r="50" spans="1:15" ht="16.5" customHeight="1">
      <c r="A50" s="8" t="s">
        <v>49</v>
      </c>
      <c r="B50" s="8" t="s">
        <v>112</v>
      </c>
      <c r="C50" s="9"/>
      <c r="D50" s="9"/>
      <c r="E50" s="9">
        <v>1</v>
      </c>
      <c r="F50" s="10"/>
      <c r="G50" s="9">
        <v>1</v>
      </c>
      <c r="H50" s="9">
        <v>1</v>
      </c>
      <c r="I50" s="10"/>
      <c r="J50" s="10"/>
      <c r="K50" s="10"/>
      <c r="L50" s="10"/>
      <c r="M50" s="10"/>
      <c r="N50" s="10"/>
      <c r="O50" s="10">
        <f t="shared" si="3"/>
        <v>3</v>
      </c>
    </row>
    <row r="51" spans="1:15" ht="16.5" customHeight="1">
      <c r="A51" s="8" t="s">
        <v>51</v>
      </c>
      <c r="B51" s="8" t="s">
        <v>114</v>
      </c>
      <c r="C51" s="9"/>
      <c r="D51" s="9"/>
      <c r="E51" s="9">
        <v>1</v>
      </c>
      <c r="F51" s="10"/>
      <c r="G51" s="9">
        <v>1</v>
      </c>
      <c r="H51" s="9">
        <v>1</v>
      </c>
      <c r="I51" s="10"/>
      <c r="J51" s="10">
        <v>1</v>
      </c>
      <c r="K51" s="10"/>
      <c r="L51" s="10"/>
      <c r="M51" s="10"/>
      <c r="N51" s="10"/>
      <c r="O51" s="10">
        <f t="shared" si="3"/>
        <v>4</v>
      </c>
    </row>
    <row r="52" spans="1:15" ht="16.5" customHeight="1">
      <c r="A52" s="8" t="s">
        <v>51</v>
      </c>
      <c r="B52" s="8" t="s">
        <v>117</v>
      </c>
      <c r="C52" s="9"/>
      <c r="D52" s="9"/>
      <c r="E52" s="9"/>
      <c r="F52" s="10"/>
      <c r="G52" s="10"/>
      <c r="H52" s="10"/>
      <c r="I52" s="10">
        <v>1</v>
      </c>
      <c r="J52" s="10">
        <v>1</v>
      </c>
      <c r="K52" s="10"/>
      <c r="L52" s="10"/>
      <c r="M52" s="10"/>
      <c r="N52" s="10"/>
      <c r="O52" s="10">
        <f t="shared" si="3"/>
        <v>2</v>
      </c>
    </row>
    <row r="53" spans="1:15" ht="16.5" customHeight="1">
      <c r="A53" s="8" t="s">
        <v>51</v>
      </c>
      <c r="B53" s="8" t="s">
        <v>120</v>
      </c>
      <c r="C53" s="9"/>
      <c r="D53" s="9"/>
      <c r="E53" s="9"/>
      <c r="F53" s="10"/>
      <c r="G53" s="10"/>
      <c r="H53" s="10"/>
      <c r="I53" s="10"/>
      <c r="J53" s="10"/>
      <c r="K53" s="10"/>
      <c r="L53" s="10"/>
      <c r="M53" s="10"/>
      <c r="N53" s="10"/>
      <c r="O53" s="10">
        <f t="shared" si="3"/>
        <v>0</v>
      </c>
    </row>
    <row r="54" spans="1:15">
      <c r="C54" s="16"/>
      <c r="D54" s="16"/>
    </row>
    <row r="55" spans="1:15">
      <c r="C55" s="16"/>
      <c r="D55" s="16"/>
    </row>
    <row r="56" spans="1:15">
      <c r="C56" s="16"/>
      <c r="D56" s="16"/>
    </row>
    <row r="57" spans="1:15">
      <c r="C57" s="16"/>
      <c r="D57" s="16"/>
    </row>
    <row r="58" spans="1:15">
      <c r="C58" s="16"/>
      <c r="D58" s="16"/>
    </row>
    <row r="59" spans="1:15">
      <c r="C59" s="16"/>
      <c r="D59" s="16"/>
    </row>
    <row r="60" spans="1:15">
      <c r="C60" s="16"/>
      <c r="D60" s="16"/>
    </row>
    <row r="61" spans="1:15">
      <c r="C61" s="16"/>
      <c r="D61" s="16"/>
    </row>
    <row r="62" spans="1:15">
      <c r="C62" s="16"/>
      <c r="D62" s="16"/>
    </row>
    <row r="63" spans="1:15">
      <c r="C63" s="16"/>
      <c r="D63" s="16"/>
    </row>
    <row r="64" spans="1:15">
      <c r="C64" s="16"/>
      <c r="D64" s="16"/>
    </row>
    <row r="65" spans="3:4">
      <c r="C65" s="16"/>
      <c r="D65" s="16"/>
    </row>
    <row r="66" spans="3:4">
      <c r="C66" s="16"/>
      <c r="D66" s="16"/>
    </row>
    <row r="67" spans="3:4">
      <c r="C67" s="16"/>
      <c r="D67" s="16"/>
    </row>
    <row r="68" spans="3:4">
      <c r="C68" s="16"/>
      <c r="D68" s="16"/>
    </row>
    <row r="69" spans="3:4">
      <c r="C69" s="16"/>
      <c r="D69" s="16"/>
    </row>
    <row r="70" spans="3:4">
      <c r="C70" s="16"/>
      <c r="D70" s="16"/>
    </row>
    <row r="71" spans="3:4">
      <c r="C71" s="16"/>
      <c r="D71" s="16"/>
    </row>
    <row r="72" spans="3:4">
      <c r="C72" s="16"/>
      <c r="D72" s="16"/>
    </row>
    <row r="73" spans="3:4">
      <c r="C73" s="16"/>
      <c r="D73" s="16"/>
    </row>
    <row r="74" spans="3:4">
      <c r="C74" s="16"/>
      <c r="D74" s="16"/>
    </row>
    <row r="75" spans="3:4">
      <c r="C75" s="16"/>
      <c r="D75" s="16"/>
    </row>
    <row r="76" spans="3:4">
      <c r="C76" s="16"/>
      <c r="D76" s="16"/>
    </row>
    <row r="77" spans="3:4">
      <c r="C77" s="16"/>
      <c r="D77" s="16"/>
    </row>
    <row r="78" spans="3:4">
      <c r="C78" s="16"/>
      <c r="D78" s="16"/>
    </row>
    <row r="79" spans="3:4">
      <c r="C79" s="16"/>
      <c r="D79" s="16"/>
    </row>
    <row r="80" spans="3:4">
      <c r="C80" s="16"/>
      <c r="D80" s="16"/>
    </row>
    <row r="81" spans="3:4">
      <c r="C81" s="16"/>
      <c r="D81" s="16"/>
    </row>
    <row r="82" spans="3:4">
      <c r="C82" s="16"/>
      <c r="D82" s="16"/>
    </row>
    <row r="83" spans="3:4">
      <c r="C83" s="16"/>
      <c r="D83" s="16"/>
    </row>
    <row r="84" spans="3:4">
      <c r="C84" s="16"/>
      <c r="D84" s="16"/>
    </row>
    <row r="85" spans="3:4">
      <c r="C85" s="16"/>
      <c r="D85" s="16"/>
    </row>
    <row r="86" spans="3:4">
      <c r="C86" s="16"/>
      <c r="D86" s="16"/>
    </row>
    <row r="87" spans="3:4">
      <c r="C87" s="16"/>
      <c r="D87" s="16"/>
    </row>
    <row r="88" spans="3:4">
      <c r="C88" s="16"/>
      <c r="D88" s="16"/>
    </row>
    <row r="89" spans="3:4">
      <c r="C89" s="16"/>
      <c r="D89" s="16"/>
    </row>
    <row r="90" spans="3:4">
      <c r="C90" s="16"/>
      <c r="D90" s="16"/>
    </row>
    <row r="91" spans="3:4">
      <c r="C91" s="16"/>
      <c r="D91" s="16"/>
    </row>
    <row r="92" spans="3:4">
      <c r="C92" s="16"/>
      <c r="D92" s="16"/>
    </row>
    <row r="93" spans="3:4">
      <c r="C93" s="16"/>
      <c r="D93" s="16"/>
    </row>
    <row r="94" spans="3:4">
      <c r="C94" s="16"/>
      <c r="D94" s="16"/>
    </row>
    <row r="95" spans="3:4">
      <c r="C95" s="16"/>
      <c r="D95" s="16"/>
    </row>
    <row r="96" spans="3:4">
      <c r="C96" s="16"/>
      <c r="D96" s="16"/>
    </row>
    <row r="97" spans="3:4">
      <c r="C97" s="16"/>
      <c r="D97" s="16"/>
    </row>
    <row r="98" spans="3:4">
      <c r="C98" s="16"/>
      <c r="D98" s="16"/>
    </row>
    <row r="99" spans="3:4">
      <c r="C99" s="16"/>
      <c r="D99" s="16"/>
    </row>
    <row r="100" spans="3:4">
      <c r="C100" s="16"/>
      <c r="D100" s="16"/>
    </row>
    <row r="101" spans="3:4">
      <c r="C101" s="16"/>
      <c r="D101" s="16"/>
    </row>
    <row r="102" spans="3:4">
      <c r="C102" s="16"/>
      <c r="D102" s="16"/>
    </row>
    <row r="103" spans="3:4">
      <c r="C103" s="16"/>
      <c r="D103" s="16"/>
    </row>
    <row r="104" spans="3:4">
      <c r="C104" s="16"/>
      <c r="D104" s="16"/>
    </row>
    <row r="105" spans="3:4">
      <c r="C105" s="16"/>
      <c r="D105" s="16"/>
    </row>
    <row r="106" spans="3:4">
      <c r="C106" s="16"/>
      <c r="D106" s="16"/>
    </row>
    <row r="107" spans="3:4">
      <c r="C107" s="16"/>
      <c r="D107" s="16"/>
    </row>
    <row r="108" spans="3:4">
      <c r="C108" s="16"/>
      <c r="D108" s="16"/>
    </row>
    <row r="109" spans="3:4">
      <c r="C109" s="16"/>
      <c r="D109" s="16"/>
    </row>
    <row r="110" spans="3:4">
      <c r="C110" s="16"/>
      <c r="D110" s="16"/>
    </row>
    <row r="111" spans="3:4">
      <c r="C111" s="16"/>
      <c r="D111" s="16"/>
    </row>
    <row r="112" spans="3:4">
      <c r="C112" s="16"/>
      <c r="D112" s="16"/>
    </row>
    <row r="113" spans="3:4">
      <c r="C113" s="16"/>
      <c r="D113" s="16"/>
    </row>
    <row r="114" spans="3:4">
      <c r="C114" s="16"/>
      <c r="D114" s="16"/>
    </row>
    <row r="115" spans="3:4">
      <c r="C115" s="16"/>
      <c r="D115" s="16"/>
    </row>
    <row r="116" spans="3:4">
      <c r="C116" s="16"/>
      <c r="D116" s="16"/>
    </row>
    <row r="117" spans="3:4">
      <c r="C117" s="16"/>
      <c r="D117" s="16"/>
    </row>
    <row r="118" spans="3:4">
      <c r="C118" s="16"/>
      <c r="D118" s="16"/>
    </row>
    <row r="119" spans="3:4">
      <c r="C119" s="16"/>
      <c r="D119" s="16"/>
    </row>
    <row r="120" spans="3:4">
      <c r="C120" s="16"/>
      <c r="D120" s="16"/>
    </row>
    <row r="121" spans="3:4">
      <c r="C121" s="16"/>
      <c r="D121" s="16"/>
    </row>
    <row r="122" spans="3:4">
      <c r="C122" s="16"/>
      <c r="D122" s="16"/>
    </row>
    <row r="123" spans="3:4">
      <c r="C123" s="16"/>
      <c r="D123" s="16"/>
    </row>
    <row r="124" spans="3:4">
      <c r="C124" s="16"/>
      <c r="D124" s="16"/>
    </row>
    <row r="125" spans="3:4">
      <c r="C125" s="16"/>
      <c r="D125" s="16"/>
    </row>
    <row r="126" spans="3:4">
      <c r="C126" s="16"/>
      <c r="D126" s="16"/>
    </row>
    <row r="127" spans="3:4">
      <c r="C127" s="16"/>
      <c r="D127" s="16"/>
    </row>
    <row r="128" spans="3:4">
      <c r="C128" s="16"/>
      <c r="D128" s="16"/>
    </row>
    <row r="129" spans="3:4">
      <c r="C129" s="16"/>
      <c r="D129" s="16"/>
    </row>
    <row r="130" spans="3:4">
      <c r="C130" s="16"/>
      <c r="D130" s="16"/>
    </row>
    <row r="131" spans="3:4">
      <c r="C131" s="16"/>
      <c r="D131" s="16"/>
    </row>
    <row r="132" spans="3:4">
      <c r="C132" s="16"/>
      <c r="D132" s="16"/>
    </row>
    <row r="133" spans="3:4">
      <c r="C133" s="16"/>
      <c r="D133" s="16"/>
    </row>
    <row r="134" spans="3:4">
      <c r="C134" s="16"/>
      <c r="D134" s="16"/>
    </row>
    <row r="135" spans="3:4">
      <c r="C135" s="16"/>
      <c r="D135" s="16"/>
    </row>
    <row r="136" spans="3:4">
      <c r="C136" s="16"/>
      <c r="D136" s="16"/>
    </row>
    <row r="137" spans="3:4">
      <c r="C137" s="16"/>
      <c r="D137" s="16"/>
    </row>
    <row r="138" spans="3:4">
      <c r="C138" s="16"/>
      <c r="D138" s="16"/>
    </row>
    <row r="139" spans="3:4">
      <c r="C139" s="16"/>
      <c r="D139" s="16"/>
    </row>
    <row r="140" spans="3:4">
      <c r="C140" s="16"/>
      <c r="D140" s="16"/>
    </row>
    <row r="141" spans="3:4">
      <c r="C141" s="16"/>
      <c r="D141" s="16"/>
    </row>
    <row r="142" spans="3:4">
      <c r="C142" s="16"/>
      <c r="D142" s="16"/>
    </row>
    <row r="143" spans="3:4">
      <c r="C143" s="16"/>
      <c r="D143" s="16"/>
    </row>
    <row r="144" spans="3:4">
      <c r="C144" s="16"/>
      <c r="D144" s="16"/>
    </row>
    <row r="145" spans="3:4">
      <c r="C145" s="16"/>
      <c r="D145" s="16"/>
    </row>
    <row r="146" spans="3:4">
      <c r="C146" s="16"/>
      <c r="D146" s="16"/>
    </row>
    <row r="147" spans="3:4">
      <c r="C147" s="16"/>
      <c r="D147" s="16"/>
    </row>
    <row r="148" spans="3:4">
      <c r="C148" s="16"/>
      <c r="D148" s="16"/>
    </row>
    <row r="149" spans="3:4">
      <c r="C149" s="16"/>
      <c r="D149" s="16"/>
    </row>
    <row r="150" spans="3:4">
      <c r="C150" s="16"/>
      <c r="D150" s="16"/>
    </row>
    <row r="151" spans="3:4">
      <c r="C151" s="16"/>
      <c r="D151" s="16"/>
    </row>
    <row r="152" spans="3:4">
      <c r="C152" s="16"/>
      <c r="D152" s="16"/>
    </row>
    <row r="153" spans="3:4">
      <c r="C153" s="16"/>
      <c r="D153" s="16"/>
    </row>
    <row r="154" spans="3:4">
      <c r="C154" s="16"/>
      <c r="D154" s="16"/>
    </row>
    <row r="155" spans="3:4">
      <c r="C155" s="16"/>
      <c r="D155" s="16"/>
    </row>
    <row r="156" spans="3:4">
      <c r="C156" s="16"/>
      <c r="D156" s="16"/>
    </row>
    <row r="157" spans="3:4">
      <c r="C157" s="16"/>
      <c r="D157" s="16"/>
    </row>
    <row r="158" spans="3:4">
      <c r="C158" s="16"/>
      <c r="D158" s="16"/>
    </row>
    <row r="159" spans="3:4">
      <c r="C159" s="16"/>
      <c r="D159" s="16"/>
    </row>
    <row r="160" spans="3:4">
      <c r="C160" s="16"/>
      <c r="D160" s="16"/>
    </row>
    <row r="161" spans="3:4">
      <c r="C161" s="16"/>
      <c r="D161" s="16"/>
    </row>
    <row r="162" spans="3:4">
      <c r="C162" s="16"/>
      <c r="D162" s="16"/>
    </row>
    <row r="163" spans="3:4">
      <c r="C163" s="16"/>
      <c r="D163" s="16"/>
    </row>
    <row r="164" spans="3:4">
      <c r="C164" s="16"/>
      <c r="D164" s="16"/>
    </row>
    <row r="165" spans="3:4">
      <c r="C165" s="16"/>
      <c r="D165" s="16"/>
    </row>
    <row r="166" spans="3:4">
      <c r="C166" s="16"/>
      <c r="D166" s="16"/>
    </row>
    <row r="167" spans="3:4">
      <c r="C167" s="16"/>
      <c r="D167" s="16"/>
    </row>
    <row r="168" spans="3:4">
      <c r="C168" s="16"/>
      <c r="D168" s="16"/>
    </row>
    <row r="169" spans="3:4">
      <c r="C169" s="16"/>
      <c r="D169" s="16"/>
    </row>
    <row r="170" spans="3:4">
      <c r="C170" s="16"/>
      <c r="D170" s="16"/>
    </row>
    <row r="171" spans="3:4">
      <c r="C171" s="16"/>
      <c r="D171" s="16"/>
    </row>
    <row r="172" spans="3:4">
      <c r="C172" s="16"/>
      <c r="D172" s="16"/>
    </row>
    <row r="173" spans="3:4">
      <c r="C173" s="16"/>
      <c r="D173" s="16"/>
    </row>
    <row r="174" spans="3:4">
      <c r="C174" s="16"/>
      <c r="D174" s="16"/>
    </row>
    <row r="175" spans="3:4">
      <c r="C175" s="16"/>
      <c r="D175" s="16"/>
    </row>
    <row r="176" spans="3:4">
      <c r="C176" s="16"/>
      <c r="D176" s="16"/>
    </row>
    <row r="177" spans="3:4">
      <c r="C177" s="16"/>
      <c r="D177" s="16"/>
    </row>
    <row r="178" spans="3:4">
      <c r="C178" s="16"/>
      <c r="D178" s="16"/>
    </row>
    <row r="179" spans="3:4">
      <c r="C179" s="16"/>
      <c r="D179" s="16"/>
    </row>
    <row r="180" spans="3:4">
      <c r="C180" s="16"/>
      <c r="D180" s="16"/>
    </row>
    <row r="181" spans="3:4">
      <c r="C181" s="16"/>
      <c r="D181" s="16"/>
    </row>
    <row r="182" spans="3:4">
      <c r="C182" s="16"/>
      <c r="D182" s="16"/>
    </row>
    <row r="183" spans="3:4">
      <c r="C183" s="16"/>
      <c r="D183" s="16"/>
    </row>
    <row r="184" spans="3:4">
      <c r="C184" s="16"/>
      <c r="D184" s="16"/>
    </row>
    <row r="185" spans="3:4">
      <c r="C185" s="16"/>
      <c r="D185" s="16"/>
    </row>
    <row r="186" spans="3:4">
      <c r="C186" s="16"/>
      <c r="D186" s="16"/>
    </row>
    <row r="187" spans="3:4">
      <c r="C187" s="16"/>
      <c r="D187" s="16"/>
    </row>
    <row r="188" spans="3:4">
      <c r="C188" s="16"/>
      <c r="D188" s="16"/>
    </row>
    <row r="189" spans="3:4">
      <c r="C189" s="16"/>
      <c r="D189" s="16"/>
    </row>
    <row r="190" spans="3:4">
      <c r="C190" s="16"/>
      <c r="D190" s="16"/>
    </row>
    <row r="191" spans="3:4">
      <c r="C191" s="16"/>
      <c r="D191" s="16"/>
    </row>
    <row r="192" spans="3:4">
      <c r="C192" s="16"/>
      <c r="D192" s="16"/>
    </row>
    <row r="193" spans="3:4">
      <c r="C193" s="16"/>
      <c r="D193" s="16"/>
    </row>
    <row r="194" spans="3:4">
      <c r="C194" s="16"/>
      <c r="D194" s="16"/>
    </row>
    <row r="195" spans="3:4">
      <c r="C195" s="16"/>
      <c r="D195" s="16"/>
    </row>
    <row r="196" spans="3:4">
      <c r="C196" s="16"/>
      <c r="D196" s="16"/>
    </row>
    <row r="197" spans="3:4">
      <c r="C197" s="16"/>
      <c r="D197" s="16"/>
    </row>
    <row r="198" spans="3:4">
      <c r="C198" s="16"/>
      <c r="D198" s="16"/>
    </row>
    <row r="199" spans="3:4">
      <c r="C199" s="16"/>
      <c r="D199" s="16"/>
    </row>
    <row r="200" spans="3:4">
      <c r="C200" s="16"/>
      <c r="D200" s="16"/>
    </row>
    <row r="201" spans="3:4">
      <c r="C201" s="16"/>
      <c r="D201" s="16"/>
    </row>
    <row r="202" spans="3:4">
      <c r="C202" s="16"/>
      <c r="D202" s="16"/>
    </row>
    <row r="203" spans="3:4">
      <c r="C203" s="16"/>
      <c r="D203" s="16"/>
    </row>
    <row r="204" spans="3:4">
      <c r="C204" s="16"/>
      <c r="D204" s="16"/>
    </row>
    <row r="205" spans="3:4">
      <c r="C205" s="16"/>
      <c r="D205" s="16"/>
    </row>
    <row r="206" spans="3:4">
      <c r="C206" s="16"/>
      <c r="D206" s="16"/>
    </row>
    <row r="207" spans="3:4">
      <c r="C207" s="16"/>
      <c r="D207" s="16"/>
    </row>
  </sheetData>
  <mergeCells count="1">
    <mergeCell ref="A1:O1"/>
  </mergeCells>
  <phoneticPr fontId="1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月报(2026)">
    <outlinePr summaryBelow="0" summaryRight="0"/>
  </sheetPr>
  <dimension ref="A1:V203"/>
  <sheetViews>
    <sheetView workbookViewId="0">
      <pane xSplit="2" ySplit="2" topLeftCell="C3" activePane="bottomRight" state="frozen"/>
      <selection pane="topRight"/>
      <selection pane="bottomLeft"/>
      <selection pane="bottomRight" activeCell="C3" sqref="C3"/>
    </sheetView>
  </sheetViews>
  <sheetFormatPr baseColWidth="10" defaultRowHeight="16"/>
  <cols>
    <col min="1" max="1" width="6.33203125" style="53" customWidth="1"/>
    <col min="2" max="2" width="11.83203125" style="53" customWidth="1"/>
    <col min="3" max="5" width="3.1640625" style="17" customWidth="1"/>
    <col min="6" max="11" width="3.1640625" style="53" customWidth="1"/>
    <col min="12" max="14" width="3.83203125" style="53" customWidth="1"/>
    <col min="15" max="15" width="3.6640625" style="53" customWidth="1"/>
    <col min="19" max="19" width="7.6640625" style="53" customWidth="1"/>
    <col min="20" max="20" width="2.83203125" style="53" customWidth="1"/>
  </cols>
  <sheetData>
    <row r="1" spans="1:22" ht="22.5" customHeight="1">
      <c r="A1" s="55" t="s">
        <v>135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7"/>
      <c r="S1" s="1"/>
      <c r="T1" s="2"/>
    </row>
    <row r="2" spans="1:22" ht="16.5" customHeight="1">
      <c r="A2" s="18" t="s">
        <v>0</v>
      </c>
      <c r="B2" s="18" t="s">
        <v>1</v>
      </c>
      <c r="C2" s="19" t="s">
        <v>136</v>
      </c>
      <c r="D2" s="19" t="s">
        <v>137</v>
      </c>
      <c r="E2" s="20" t="s">
        <v>138</v>
      </c>
      <c r="F2" s="19" t="s">
        <v>139</v>
      </c>
      <c r="G2" s="19" t="s">
        <v>140</v>
      </c>
      <c r="H2" s="19" t="s">
        <v>141</v>
      </c>
      <c r="I2" s="19" t="s">
        <v>142</v>
      </c>
      <c r="J2" s="19" t="s">
        <v>143</v>
      </c>
      <c r="K2" s="19" t="s">
        <v>144</v>
      </c>
      <c r="L2" s="19" t="s">
        <v>145</v>
      </c>
      <c r="M2" s="19" t="s">
        <v>146</v>
      </c>
      <c r="N2" s="19" t="s">
        <v>147</v>
      </c>
      <c r="O2" s="19" t="s">
        <v>148</v>
      </c>
      <c r="S2" s="6" t="s">
        <v>5</v>
      </c>
      <c r="T2" s="7">
        <f>SUM(T3:T104)</f>
        <v>48</v>
      </c>
    </row>
    <row r="3" spans="1:22" ht="16.5" customHeight="1">
      <c r="A3" s="8" t="s">
        <v>7</v>
      </c>
      <c r="B3" s="8" t="s">
        <v>8</v>
      </c>
      <c r="C3" s="9"/>
      <c r="D3" s="9"/>
      <c r="E3" s="9"/>
      <c r="F3" s="9"/>
      <c r="G3" s="9"/>
      <c r="H3" s="10"/>
      <c r="I3" s="10"/>
      <c r="J3" s="10"/>
      <c r="K3" s="10"/>
      <c r="L3" s="10"/>
      <c r="M3" s="10"/>
      <c r="N3" s="10"/>
      <c r="O3" s="10">
        <f t="shared" ref="O3:O50" si="0">SUM(C3:N3)</f>
        <v>0</v>
      </c>
      <c r="S3" s="11" t="s">
        <v>7</v>
      </c>
      <c r="T3" s="12">
        <f t="shared" ref="T3:T14" si="1">COUNTIF($A:$A,$S3)</f>
        <v>5</v>
      </c>
      <c r="U3" t="s">
        <v>151</v>
      </c>
      <c r="V3">
        <f>T3+T4</f>
        <v>9</v>
      </c>
    </row>
    <row r="4" spans="1:22" ht="16.5" customHeight="1">
      <c r="A4" s="8" t="s">
        <v>7</v>
      </c>
      <c r="B4" s="8" t="s">
        <v>13</v>
      </c>
      <c r="C4" s="9"/>
      <c r="D4" s="13"/>
      <c r="E4" s="13"/>
      <c r="F4" s="9"/>
      <c r="G4" s="9"/>
      <c r="H4" s="10"/>
      <c r="I4" s="9"/>
      <c r="J4" s="10"/>
      <c r="K4" s="10"/>
      <c r="L4" s="10"/>
      <c r="M4" s="10"/>
      <c r="N4" s="10"/>
      <c r="O4" s="10">
        <f t="shared" si="0"/>
        <v>0</v>
      </c>
      <c r="S4" s="11" t="s">
        <v>16</v>
      </c>
      <c r="T4" s="12">
        <f t="shared" si="1"/>
        <v>4</v>
      </c>
    </row>
    <row r="5" spans="1:22" ht="16.5" customHeight="1">
      <c r="A5" s="8" t="s">
        <v>7</v>
      </c>
      <c r="B5" s="8" t="s">
        <v>18</v>
      </c>
      <c r="C5" s="9"/>
      <c r="D5" s="9"/>
      <c r="E5" s="9"/>
      <c r="F5" s="10"/>
      <c r="G5" s="10"/>
      <c r="H5" s="10"/>
      <c r="I5" s="10"/>
      <c r="J5" s="10"/>
      <c r="K5" s="10"/>
      <c r="L5" s="10"/>
      <c r="M5" s="10"/>
      <c r="N5" s="10"/>
      <c r="O5" s="10">
        <f t="shared" si="0"/>
        <v>0</v>
      </c>
      <c r="S5" s="11" t="s">
        <v>20</v>
      </c>
      <c r="T5" s="12">
        <f t="shared" si="1"/>
        <v>5</v>
      </c>
      <c r="U5" t="s">
        <v>20</v>
      </c>
      <c r="V5">
        <f>T5</f>
        <v>5</v>
      </c>
    </row>
    <row r="6" spans="1:22" ht="16.5" customHeight="1">
      <c r="A6" s="8" t="s">
        <v>7</v>
      </c>
      <c r="B6" s="8" t="s">
        <v>22</v>
      </c>
      <c r="C6" s="9"/>
      <c r="D6" s="9"/>
      <c r="E6" s="9"/>
      <c r="F6" s="9"/>
      <c r="G6" s="9"/>
      <c r="H6" s="9"/>
      <c r="I6" s="10"/>
      <c r="J6" s="10"/>
      <c r="K6" s="10"/>
      <c r="L6" s="10"/>
      <c r="M6" s="10"/>
      <c r="N6" s="10"/>
      <c r="O6" s="10">
        <f t="shared" si="0"/>
        <v>0</v>
      </c>
      <c r="S6" s="11" t="s">
        <v>25</v>
      </c>
      <c r="T6" s="12">
        <f t="shared" si="1"/>
        <v>3</v>
      </c>
      <c r="U6" t="s">
        <v>25</v>
      </c>
      <c r="V6">
        <f>T6</f>
        <v>3</v>
      </c>
    </row>
    <row r="7" spans="1:22" ht="16.5" customHeight="1">
      <c r="A7" s="8" t="s">
        <v>16</v>
      </c>
      <c r="B7" s="8" t="s">
        <v>31</v>
      </c>
      <c r="C7" s="9"/>
      <c r="D7" s="9">
        <v>1</v>
      </c>
      <c r="E7" s="9"/>
      <c r="F7" s="10"/>
      <c r="G7" s="10"/>
      <c r="H7" s="10"/>
      <c r="I7" s="10"/>
      <c r="J7" s="10"/>
      <c r="K7" s="10"/>
      <c r="L7" s="10"/>
      <c r="M7" s="10"/>
      <c r="N7" s="10"/>
      <c r="O7" s="10">
        <f t="shared" si="0"/>
        <v>1</v>
      </c>
      <c r="S7" s="11" t="s">
        <v>29</v>
      </c>
      <c r="T7" s="12">
        <f t="shared" si="1"/>
        <v>5</v>
      </c>
      <c r="U7" t="s">
        <v>152</v>
      </c>
      <c r="V7">
        <f>T7+T8+T9</f>
        <v>10</v>
      </c>
    </row>
    <row r="8" spans="1:22" ht="16.5" customHeight="1">
      <c r="A8" s="8" t="s">
        <v>16</v>
      </c>
      <c r="B8" s="8" t="s">
        <v>35</v>
      </c>
      <c r="C8" s="9"/>
      <c r="D8" s="9"/>
      <c r="E8" s="9"/>
      <c r="F8" s="10"/>
      <c r="G8" s="10"/>
      <c r="H8" s="10"/>
      <c r="I8" s="10"/>
      <c r="J8" s="10"/>
      <c r="K8" s="10"/>
      <c r="L8" s="10"/>
      <c r="M8" s="10"/>
      <c r="N8" s="10"/>
      <c r="O8" s="10">
        <f t="shared" si="0"/>
        <v>0</v>
      </c>
      <c r="S8" s="11" t="s">
        <v>34</v>
      </c>
      <c r="T8" s="12">
        <f t="shared" si="1"/>
        <v>3</v>
      </c>
    </row>
    <row r="9" spans="1:22" ht="16.5" customHeight="1">
      <c r="A9" s="8" t="s">
        <v>16</v>
      </c>
      <c r="B9" s="8" t="s">
        <v>134</v>
      </c>
      <c r="C9" s="9"/>
      <c r="D9" s="9"/>
      <c r="E9" s="9"/>
      <c r="F9" s="10"/>
      <c r="G9" s="10"/>
      <c r="H9" s="10"/>
      <c r="I9" s="10"/>
      <c r="J9" s="10"/>
      <c r="K9" s="10"/>
      <c r="L9" s="10"/>
      <c r="M9" s="10"/>
      <c r="N9" s="10"/>
      <c r="O9" s="10">
        <f t="shared" si="0"/>
        <v>0</v>
      </c>
      <c r="S9" s="11" t="s">
        <v>37</v>
      </c>
      <c r="T9" s="12">
        <f t="shared" si="1"/>
        <v>2</v>
      </c>
    </row>
    <row r="10" spans="1:22" ht="16.5" customHeight="1">
      <c r="A10" s="8" t="s">
        <v>16</v>
      </c>
      <c r="B10" s="8" t="s">
        <v>38</v>
      </c>
      <c r="C10" s="9"/>
      <c r="D10" s="9">
        <v>1</v>
      </c>
      <c r="E10" s="9"/>
      <c r="F10" s="10"/>
      <c r="G10" s="10"/>
      <c r="H10" s="10"/>
      <c r="I10" s="10"/>
      <c r="J10" s="10"/>
      <c r="K10" s="10"/>
      <c r="L10" s="10"/>
      <c r="M10" s="10"/>
      <c r="N10" s="10"/>
      <c r="O10" s="10">
        <f t="shared" si="0"/>
        <v>1</v>
      </c>
      <c r="S10" s="11" t="s">
        <v>40</v>
      </c>
      <c r="T10" s="12">
        <f t="shared" si="1"/>
        <v>6</v>
      </c>
      <c r="U10" t="s">
        <v>40</v>
      </c>
      <c r="V10">
        <f>T10</f>
        <v>6</v>
      </c>
    </row>
    <row r="11" spans="1:22" ht="16.5" customHeight="1">
      <c r="A11" s="8" t="s">
        <v>20</v>
      </c>
      <c r="B11" s="8" t="s">
        <v>41</v>
      </c>
      <c r="C11" s="15"/>
      <c r="D11" s="15"/>
      <c r="E11" s="15"/>
      <c r="F11" s="10"/>
      <c r="G11" s="10"/>
      <c r="H11" s="10"/>
      <c r="I11" s="10"/>
      <c r="J11" s="10"/>
      <c r="K11" s="10"/>
      <c r="L11" s="10"/>
      <c r="M11" s="10"/>
      <c r="N11" s="10"/>
      <c r="O11" s="10">
        <f t="shared" si="0"/>
        <v>0</v>
      </c>
      <c r="S11" s="11" t="s">
        <v>43</v>
      </c>
      <c r="T11" s="12">
        <f t="shared" si="1"/>
        <v>8</v>
      </c>
      <c r="U11" t="s">
        <v>153</v>
      </c>
      <c r="V11">
        <f>T11+T12</f>
        <v>12</v>
      </c>
    </row>
    <row r="12" spans="1:22" ht="16.5" customHeight="1">
      <c r="A12" s="8" t="s">
        <v>20</v>
      </c>
      <c r="B12" s="8" t="s">
        <v>44</v>
      </c>
      <c r="C12" s="13"/>
      <c r="D12" s="13"/>
      <c r="E12" s="13"/>
      <c r="F12" s="10"/>
      <c r="G12" s="10"/>
      <c r="H12" s="10"/>
      <c r="I12" s="10"/>
      <c r="J12" s="10"/>
      <c r="K12" s="10"/>
      <c r="L12" s="10"/>
      <c r="M12" s="10"/>
      <c r="N12" s="10"/>
      <c r="O12" s="10">
        <f t="shared" si="0"/>
        <v>0</v>
      </c>
      <c r="S12" s="11" t="s">
        <v>45</v>
      </c>
      <c r="T12" s="12">
        <f t="shared" si="1"/>
        <v>4</v>
      </c>
    </row>
    <row r="13" spans="1:22" ht="16.5" customHeight="1">
      <c r="A13" s="8" t="s">
        <v>20</v>
      </c>
      <c r="B13" s="8" t="s">
        <v>46</v>
      </c>
      <c r="C13" s="9"/>
      <c r="D13" s="9"/>
      <c r="E13" s="9"/>
      <c r="F13" s="10"/>
      <c r="G13" s="10"/>
      <c r="H13" s="10"/>
      <c r="I13" s="10"/>
      <c r="J13" s="10"/>
      <c r="K13" s="10"/>
      <c r="L13" s="10"/>
      <c r="M13" s="10"/>
      <c r="N13" s="10"/>
      <c r="O13" s="10">
        <f t="shared" si="0"/>
        <v>0</v>
      </c>
      <c r="S13" s="11" t="s">
        <v>49</v>
      </c>
      <c r="T13" s="12">
        <f t="shared" si="1"/>
        <v>0</v>
      </c>
    </row>
    <row r="14" spans="1:22" ht="16.5" customHeight="1">
      <c r="A14" s="8" t="s">
        <v>20</v>
      </c>
      <c r="B14" s="8" t="s">
        <v>50</v>
      </c>
      <c r="C14" s="9"/>
      <c r="D14" s="9"/>
      <c r="E14" s="9"/>
      <c r="F14" s="10"/>
      <c r="G14" s="10"/>
      <c r="H14" s="10"/>
      <c r="I14" s="10"/>
      <c r="J14" s="10"/>
      <c r="K14" s="10"/>
      <c r="L14" s="10"/>
      <c r="M14" s="10"/>
      <c r="N14" s="10"/>
      <c r="O14" s="10">
        <f t="shared" si="0"/>
        <v>0</v>
      </c>
      <c r="S14" s="11" t="s">
        <v>51</v>
      </c>
      <c r="T14" s="12">
        <f t="shared" si="1"/>
        <v>3</v>
      </c>
      <c r="U14" t="s">
        <v>51</v>
      </c>
      <c r="V14">
        <f>T14</f>
        <v>3</v>
      </c>
    </row>
    <row r="15" spans="1:22" ht="16.5" customHeight="1">
      <c r="A15" s="8" t="s">
        <v>20</v>
      </c>
      <c r="B15" s="8" t="s">
        <v>149</v>
      </c>
      <c r="C15" s="9"/>
      <c r="D15" s="9"/>
      <c r="E15" s="9"/>
      <c r="F15" s="10"/>
      <c r="G15" s="10"/>
      <c r="H15" s="10"/>
      <c r="I15" s="10"/>
      <c r="J15" s="10"/>
      <c r="K15" s="10"/>
      <c r="L15" s="10"/>
      <c r="M15" s="10"/>
      <c r="N15" s="10"/>
      <c r="O15" s="10">
        <f t="shared" si="0"/>
        <v>0</v>
      </c>
    </row>
    <row r="16" spans="1:22" ht="16.5" customHeight="1">
      <c r="A16" s="8" t="s">
        <v>25</v>
      </c>
      <c r="B16" s="8" t="s">
        <v>54</v>
      </c>
      <c r="C16" s="9"/>
      <c r="D16" s="9"/>
      <c r="E16" s="9"/>
      <c r="F16" s="10"/>
      <c r="G16" s="10"/>
      <c r="H16" s="10"/>
      <c r="I16" s="10"/>
      <c r="J16" s="10"/>
      <c r="K16" s="10"/>
      <c r="L16" s="10"/>
      <c r="M16" s="10"/>
      <c r="N16" s="10"/>
      <c r="O16" s="10">
        <f t="shared" si="0"/>
        <v>0</v>
      </c>
    </row>
    <row r="17" spans="1:15" ht="16.5" customHeight="1">
      <c r="A17" s="8" t="s">
        <v>25</v>
      </c>
      <c r="B17" s="8" t="s">
        <v>55</v>
      </c>
      <c r="C17" s="9"/>
      <c r="D17" s="9"/>
      <c r="E17" s="9"/>
      <c r="F17" s="10"/>
      <c r="G17" s="10"/>
      <c r="H17" s="10"/>
      <c r="I17" s="10"/>
      <c r="J17" s="10"/>
      <c r="K17" s="10"/>
      <c r="L17" s="10"/>
      <c r="M17" s="10"/>
      <c r="N17" s="10"/>
      <c r="O17" s="10">
        <f t="shared" si="0"/>
        <v>0</v>
      </c>
    </row>
    <row r="18" spans="1:15" ht="16.5" customHeight="1">
      <c r="A18" s="8" t="s">
        <v>25</v>
      </c>
      <c r="B18" s="8" t="s">
        <v>56</v>
      </c>
      <c r="C18" s="9"/>
      <c r="D18" s="9"/>
      <c r="E18" s="9"/>
      <c r="F18" s="10"/>
      <c r="G18" s="10"/>
      <c r="H18" s="10"/>
      <c r="I18" s="10"/>
      <c r="J18" s="10"/>
      <c r="K18" s="10"/>
      <c r="L18" s="10"/>
      <c r="M18" s="10"/>
      <c r="N18" s="10"/>
      <c r="O18" s="10">
        <f t="shared" si="0"/>
        <v>0</v>
      </c>
    </row>
    <row r="19" spans="1:15" ht="16.5" customHeight="1">
      <c r="A19" s="8" t="s">
        <v>29</v>
      </c>
      <c r="B19" s="8" t="s">
        <v>58</v>
      </c>
      <c r="C19" s="9"/>
      <c r="D19" s="9"/>
      <c r="E19" s="9"/>
      <c r="F19" s="10"/>
      <c r="G19" s="10"/>
      <c r="H19" s="10"/>
      <c r="I19" s="10"/>
      <c r="J19" s="10"/>
      <c r="K19" s="10"/>
      <c r="L19" s="10"/>
      <c r="M19" s="10"/>
      <c r="N19" s="10"/>
      <c r="O19" s="10">
        <f t="shared" si="0"/>
        <v>0</v>
      </c>
    </row>
    <row r="20" spans="1:15" ht="16.5" customHeight="1">
      <c r="A20" s="8" t="s">
        <v>29</v>
      </c>
      <c r="B20" s="8" t="s">
        <v>60</v>
      </c>
      <c r="C20" s="13"/>
      <c r="D20" s="13"/>
      <c r="E20" s="13"/>
      <c r="F20" s="10"/>
      <c r="G20" s="9"/>
      <c r="H20" s="10"/>
      <c r="I20" s="10"/>
      <c r="J20" s="10"/>
      <c r="K20" s="10"/>
      <c r="L20" s="10"/>
      <c r="M20" s="10"/>
      <c r="N20" s="10"/>
      <c r="O20" s="10">
        <f t="shared" si="0"/>
        <v>0</v>
      </c>
    </row>
    <row r="21" spans="1:15" ht="16.5" customHeight="1">
      <c r="A21" s="8" t="s">
        <v>29</v>
      </c>
      <c r="B21" s="8" t="s">
        <v>61</v>
      </c>
      <c r="C21" s="9"/>
      <c r="D21" s="9"/>
      <c r="E21" s="9"/>
      <c r="F21" s="10"/>
      <c r="G21" s="9"/>
      <c r="H21" s="9"/>
      <c r="I21" s="10"/>
      <c r="J21" s="10"/>
      <c r="K21" s="10"/>
      <c r="L21" s="10"/>
      <c r="M21" s="10"/>
      <c r="N21" s="10"/>
      <c r="O21" s="10">
        <f t="shared" si="0"/>
        <v>0</v>
      </c>
    </row>
    <row r="22" spans="1:15" ht="16.5" customHeight="1">
      <c r="A22" s="8" t="s">
        <v>29</v>
      </c>
      <c r="B22" s="8" t="s">
        <v>63</v>
      </c>
      <c r="C22" s="9"/>
      <c r="D22" s="9"/>
      <c r="E22" s="9"/>
      <c r="F22" s="10"/>
      <c r="G22" s="10"/>
      <c r="H22" s="10"/>
      <c r="I22" s="10"/>
      <c r="J22" s="10"/>
      <c r="K22" s="10"/>
      <c r="L22" s="10"/>
      <c r="M22" s="10"/>
      <c r="N22" s="10"/>
      <c r="O22" s="10">
        <f t="shared" si="0"/>
        <v>0</v>
      </c>
    </row>
    <row r="23" spans="1:15" ht="16.5" customHeight="1">
      <c r="A23" s="8" t="s">
        <v>29</v>
      </c>
      <c r="B23" s="8" t="s">
        <v>65</v>
      </c>
      <c r="C23" s="9"/>
      <c r="D23" s="9"/>
      <c r="E23" s="9"/>
      <c r="F23" s="10"/>
      <c r="G23" s="10"/>
      <c r="H23" s="10"/>
      <c r="I23" s="10"/>
      <c r="J23" s="10"/>
      <c r="K23" s="10"/>
      <c r="L23" s="10"/>
      <c r="M23" s="10"/>
      <c r="N23" s="10"/>
      <c r="O23" s="10">
        <f t="shared" si="0"/>
        <v>0</v>
      </c>
    </row>
    <row r="24" spans="1:15" ht="16.5" customHeight="1">
      <c r="A24" s="8" t="s">
        <v>34</v>
      </c>
      <c r="B24" s="8" t="s">
        <v>67</v>
      </c>
      <c r="C24" s="9"/>
      <c r="D24" s="9"/>
      <c r="E24" s="9"/>
      <c r="F24" s="10"/>
      <c r="G24" s="10"/>
      <c r="H24" s="9"/>
      <c r="I24" s="10"/>
      <c r="J24" s="10"/>
      <c r="K24" s="10"/>
      <c r="L24" s="10"/>
      <c r="M24" s="10"/>
      <c r="N24" s="10"/>
      <c r="O24" s="10">
        <f t="shared" si="0"/>
        <v>0</v>
      </c>
    </row>
    <row r="25" spans="1:15" ht="16.5" customHeight="1">
      <c r="A25" s="8" t="s">
        <v>34</v>
      </c>
      <c r="B25" s="8" t="s">
        <v>68</v>
      </c>
      <c r="C25" s="9"/>
      <c r="D25" s="9"/>
      <c r="E25" s="9"/>
      <c r="F25" s="10"/>
      <c r="G25" s="10"/>
      <c r="H25" s="10"/>
      <c r="I25" s="10"/>
      <c r="J25" s="10"/>
      <c r="K25" s="10"/>
      <c r="L25" s="10"/>
      <c r="M25" s="10"/>
      <c r="N25" s="10"/>
      <c r="O25" s="10">
        <f t="shared" si="0"/>
        <v>0</v>
      </c>
    </row>
    <row r="26" spans="1:15" ht="16.5" customHeight="1">
      <c r="A26" s="8" t="s">
        <v>34</v>
      </c>
      <c r="B26" s="8" t="s">
        <v>70</v>
      </c>
      <c r="C26" s="9"/>
      <c r="D26" s="9"/>
      <c r="E26" s="9"/>
      <c r="F26" s="10"/>
      <c r="G26" s="10"/>
      <c r="H26" s="10"/>
      <c r="I26" s="10"/>
      <c r="J26" s="10"/>
      <c r="K26" s="10"/>
      <c r="L26" s="10"/>
      <c r="M26" s="10"/>
      <c r="N26" s="10"/>
      <c r="O26" s="10">
        <f t="shared" si="0"/>
        <v>0</v>
      </c>
    </row>
    <row r="27" spans="1:15" ht="16.5" customHeight="1">
      <c r="A27" s="8" t="s">
        <v>37</v>
      </c>
      <c r="B27" s="8" t="s">
        <v>71</v>
      </c>
      <c r="C27" s="9"/>
      <c r="D27" s="9"/>
      <c r="E27" s="9"/>
      <c r="F27" s="10"/>
      <c r="G27" s="9"/>
      <c r="H27" s="10"/>
      <c r="I27" s="10"/>
      <c r="J27" s="10"/>
      <c r="K27" s="10"/>
      <c r="L27" s="10"/>
      <c r="M27" s="10"/>
      <c r="N27" s="10"/>
      <c r="O27" s="10">
        <f t="shared" si="0"/>
        <v>0</v>
      </c>
    </row>
    <row r="28" spans="1:15" ht="16.5" customHeight="1">
      <c r="A28" s="8" t="s">
        <v>37</v>
      </c>
      <c r="B28" s="8" t="s">
        <v>74</v>
      </c>
      <c r="C28" s="9"/>
      <c r="D28" s="9">
        <v>1</v>
      </c>
      <c r="E28" s="9"/>
      <c r="F28" s="10"/>
      <c r="G28" s="9"/>
      <c r="H28" s="10"/>
      <c r="I28" s="10"/>
      <c r="J28" s="10"/>
      <c r="K28" s="10"/>
      <c r="L28" s="10"/>
      <c r="M28" s="10"/>
      <c r="N28" s="10"/>
      <c r="O28" s="10">
        <f t="shared" si="0"/>
        <v>1</v>
      </c>
    </row>
    <row r="29" spans="1:15" ht="16.5" customHeight="1">
      <c r="A29" s="8" t="s">
        <v>40</v>
      </c>
      <c r="B29" s="8" t="s">
        <v>78</v>
      </c>
      <c r="C29" s="13"/>
      <c r="D29" s="13"/>
      <c r="E29" s="13"/>
      <c r="F29" s="10"/>
      <c r="G29" s="10"/>
      <c r="H29" s="10"/>
      <c r="I29" s="10"/>
      <c r="J29" s="10"/>
      <c r="K29" s="10"/>
      <c r="L29" s="10"/>
      <c r="M29" s="10"/>
      <c r="N29" s="10"/>
      <c r="O29" s="10">
        <f t="shared" si="0"/>
        <v>0</v>
      </c>
    </row>
    <row r="30" spans="1:15" ht="16.5" customHeight="1">
      <c r="A30" s="8" t="s">
        <v>40</v>
      </c>
      <c r="B30" s="8" t="s">
        <v>81</v>
      </c>
      <c r="C30" s="9"/>
      <c r="D30" s="9"/>
      <c r="E30" s="9"/>
      <c r="F30" s="10"/>
      <c r="G30" s="10"/>
      <c r="H30" s="10"/>
      <c r="I30" s="10"/>
      <c r="J30" s="10"/>
      <c r="K30" s="10"/>
      <c r="L30" s="10"/>
      <c r="M30" s="10"/>
      <c r="N30" s="10"/>
      <c r="O30" s="10">
        <f t="shared" si="0"/>
        <v>0</v>
      </c>
    </row>
    <row r="31" spans="1:15" ht="16.5" customHeight="1">
      <c r="A31" s="8" t="s">
        <v>40</v>
      </c>
      <c r="B31" s="8" t="s">
        <v>79</v>
      </c>
      <c r="C31" s="9"/>
      <c r="D31" s="9"/>
      <c r="E31" s="9"/>
      <c r="F31" s="10"/>
      <c r="G31" s="10"/>
      <c r="H31" s="10"/>
      <c r="I31" s="10"/>
      <c r="J31" s="10"/>
      <c r="K31" s="10"/>
      <c r="L31" s="10"/>
      <c r="M31" s="10"/>
      <c r="N31" s="10"/>
      <c r="O31" s="10">
        <f t="shared" si="0"/>
        <v>0</v>
      </c>
    </row>
    <row r="32" spans="1:15" ht="16.5" customHeight="1">
      <c r="A32" s="8" t="s">
        <v>40</v>
      </c>
      <c r="B32" s="8" t="s">
        <v>83</v>
      </c>
      <c r="C32" s="9"/>
      <c r="D32" s="9"/>
      <c r="E32" s="9"/>
      <c r="F32" s="10"/>
      <c r="G32" s="10"/>
      <c r="H32" s="10"/>
      <c r="I32" s="10"/>
      <c r="J32" s="10"/>
      <c r="K32" s="10"/>
      <c r="L32" s="10"/>
      <c r="M32" s="10"/>
      <c r="N32" s="10"/>
      <c r="O32" s="10">
        <f t="shared" si="0"/>
        <v>0</v>
      </c>
    </row>
    <row r="33" spans="1:15" ht="16.5" customHeight="1">
      <c r="A33" s="8" t="s">
        <v>40</v>
      </c>
      <c r="B33" s="8" t="s">
        <v>85</v>
      </c>
      <c r="C33" s="9"/>
      <c r="D33" s="9"/>
      <c r="E33" s="9"/>
      <c r="F33" s="10"/>
      <c r="G33" s="10"/>
      <c r="H33" s="9"/>
      <c r="I33" s="10"/>
      <c r="J33" s="10"/>
      <c r="K33" s="10"/>
      <c r="L33" s="10"/>
      <c r="M33" s="10"/>
      <c r="N33" s="10"/>
      <c r="O33" s="10">
        <f t="shared" si="0"/>
        <v>0</v>
      </c>
    </row>
    <row r="34" spans="1:15" ht="16.5" customHeight="1">
      <c r="A34" s="8" t="s">
        <v>40</v>
      </c>
      <c r="B34" s="8" t="s">
        <v>150</v>
      </c>
      <c r="C34" s="9"/>
      <c r="D34" s="9"/>
      <c r="E34" s="9"/>
      <c r="F34" s="10"/>
      <c r="G34" s="10"/>
      <c r="H34" s="10"/>
      <c r="I34" s="10"/>
      <c r="J34" s="10"/>
      <c r="K34" s="10"/>
      <c r="L34" s="10"/>
      <c r="M34" s="10"/>
      <c r="N34" s="10"/>
      <c r="O34" s="10">
        <f t="shared" si="0"/>
        <v>0</v>
      </c>
    </row>
    <row r="35" spans="1:15" ht="16.5" customHeight="1">
      <c r="A35" s="8" t="s">
        <v>43</v>
      </c>
      <c r="B35" s="8" t="s">
        <v>87</v>
      </c>
      <c r="C35" s="9"/>
      <c r="D35" s="9">
        <v>1</v>
      </c>
      <c r="E35" s="9"/>
      <c r="F35" s="10"/>
      <c r="G35" s="10"/>
      <c r="H35" s="10"/>
      <c r="I35" s="10"/>
      <c r="J35" s="10"/>
      <c r="K35" s="10"/>
      <c r="L35" s="10"/>
      <c r="M35" s="10"/>
      <c r="N35" s="10"/>
      <c r="O35" s="10">
        <f t="shared" si="0"/>
        <v>1</v>
      </c>
    </row>
    <row r="36" spans="1:15" ht="16.5" customHeight="1">
      <c r="A36" s="8" t="s">
        <v>43</v>
      </c>
      <c r="B36" s="8" t="s">
        <v>90</v>
      </c>
      <c r="C36" s="9"/>
      <c r="D36" s="9"/>
      <c r="E36" s="9"/>
      <c r="F36" s="10"/>
      <c r="G36" s="10"/>
      <c r="H36" s="10"/>
      <c r="I36" s="10"/>
      <c r="J36" s="10"/>
      <c r="K36" s="10"/>
      <c r="L36" s="10"/>
      <c r="M36" s="10"/>
      <c r="N36" s="10"/>
      <c r="O36" s="10">
        <f t="shared" si="0"/>
        <v>0</v>
      </c>
    </row>
    <row r="37" spans="1:15" ht="16.5" customHeight="1">
      <c r="A37" s="8" t="s">
        <v>43</v>
      </c>
      <c r="B37" s="8" t="s">
        <v>91</v>
      </c>
      <c r="C37" s="9"/>
      <c r="D37" s="9"/>
      <c r="E37" s="9"/>
      <c r="F37" s="9"/>
      <c r="G37" s="10"/>
      <c r="H37" s="9"/>
      <c r="I37" s="10"/>
      <c r="J37" s="10"/>
      <c r="K37" s="10"/>
      <c r="L37" s="10"/>
      <c r="M37" s="10"/>
      <c r="N37" s="10"/>
      <c r="O37" s="10">
        <f t="shared" si="0"/>
        <v>0</v>
      </c>
    </row>
    <row r="38" spans="1:15" ht="16.5" customHeight="1">
      <c r="A38" s="8" t="s">
        <v>43</v>
      </c>
      <c r="B38" s="8" t="s">
        <v>93</v>
      </c>
      <c r="C38" s="9"/>
      <c r="D38" s="9"/>
      <c r="E38" s="9"/>
      <c r="F38" s="10"/>
      <c r="G38" s="10"/>
      <c r="H38" s="10"/>
      <c r="I38" s="10"/>
      <c r="J38" s="10"/>
      <c r="K38" s="10"/>
      <c r="L38" s="10"/>
      <c r="M38" s="10"/>
      <c r="N38" s="10"/>
      <c r="O38" s="10">
        <f t="shared" si="0"/>
        <v>0</v>
      </c>
    </row>
    <row r="39" spans="1:15" ht="16.5" customHeight="1">
      <c r="A39" s="8" t="s">
        <v>43</v>
      </c>
      <c r="B39" s="8" t="s">
        <v>95</v>
      </c>
      <c r="C39" s="9"/>
      <c r="D39" s="9"/>
      <c r="E39" s="9"/>
      <c r="F39" s="10"/>
      <c r="G39" s="10"/>
      <c r="H39" s="10"/>
      <c r="I39" s="10"/>
      <c r="J39" s="10"/>
      <c r="K39" s="10"/>
      <c r="L39" s="10"/>
      <c r="M39" s="10"/>
      <c r="N39" s="10"/>
      <c r="O39" s="10">
        <f t="shared" si="0"/>
        <v>0</v>
      </c>
    </row>
    <row r="40" spans="1:15" ht="16.5" customHeight="1">
      <c r="A40" s="8" t="s">
        <v>43</v>
      </c>
      <c r="B40" s="8" t="s">
        <v>96</v>
      </c>
      <c r="C40" s="9"/>
      <c r="D40" s="9">
        <v>1</v>
      </c>
      <c r="E40" s="9"/>
      <c r="F40" s="10"/>
      <c r="G40" s="10"/>
      <c r="H40" s="10"/>
      <c r="I40" s="10"/>
      <c r="J40" s="10"/>
      <c r="K40" s="10"/>
      <c r="L40" s="10"/>
      <c r="M40" s="10"/>
      <c r="N40" s="10"/>
      <c r="O40" s="10">
        <f t="shared" si="0"/>
        <v>1</v>
      </c>
    </row>
    <row r="41" spans="1:15" ht="16.5" customHeight="1">
      <c r="A41" s="8" t="s">
        <v>43</v>
      </c>
      <c r="B41" s="8" t="s">
        <v>98</v>
      </c>
      <c r="C41" s="15"/>
      <c r="D41" s="15">
        <v>1</v>
      </c>
      <c r="E41" s="15">
        <v>1</v>
      </c>
      <c r="F41" s="10"/>
      <c r="G41" s="10"/>
      <c r="H41" s="10"/>
      <c r="I41" s="10"/>
      <c r="J41" s="10"/>
      <c r="K41" s="10"/>
      <c r="L41" s="10"/>
      <c r="M41" s="10"/>
      <c r="N41" s="10"/>
      <c r="O41" s="10">
        <f t="shared" si="0"/>
        <v>2</v>
      </c>
    </row>
    <row r="42" spans="1:15" ht="16.5" customHeight="1">
      <c r="A42" s="8" t="s">
        <v>43</v>
      </c>
      <c r="B42" s="8" t="s">
        <v>99</v>
      </c>
      <c r="C42" s="15"/>
      <c r="D42" s="15"/>
      <c r="E42" s="15"/>
      <c r="F42" s="10"/>
      <c r="G42" s="10"/>
      <c r="H42" s="10"/>
      <c r="I42" s="10"/>
      <c r="J42" s="10"/>
      <c r="K42" s="10"/>
      <c r="L42" s="10"/>
      <c r="M42" s="10"/>
      <c r="N42" s="10"/>
      <c r="O42" s="10">
        <f t="shared" si="0"/>
        <v>0</v>
      </c>
    </row>
    <row r="43" spans="1:15" ht="16.5" customHeight="1">
      <c r="A43" s="8" t="s">
        <v>45</v>
      </c>
      <c r="B43" s="8" t="s">
        <v>101</v>
      </c>
      <c r="C43" s="15"/>
      <c r="D43" s="15"/>
      <c r="E43" s="15"/>
      <c r="F43" s="10"/>
      <c r="G43" s="10"/>
      <c r="H43" s="10"/>
      <c r="I43" s="10"/>
      <c r="J43" s="10"/>
      <c r="K43" s="10"/>
      <c r="L43" s="10"/>
      <c r="M43" s="10"/>
      <c r="N43" s="10"/>
      <c r="O43" s="10">
        <f t="shared" si="0"/>
        <v>0</v>
      </c>
    </row>
    <row r="44" spans="1:15" ht="16.5" customHeight="1">
      <c r="A44" s="8" t="s">
        <v>45</v>
      </c>
      <c r="B44" s="8" t="s">
        <v>102</v>
      </c>
      <c r="C44" s="15"/>
      <c r="D44" s="15"/>
      <c r="E44" s="15"/>
      <c r="F44" s="10"/>
      <c r="G44" s="10"/>
      <c r="H44" s="10"/>
      <c r="I44" s="10"/>
      <c r="J44" s="10"/>
      <c r="K44" s="10"/>
      <c r="L44" s="10"/>
      <c r="M44" s="10"/>
      <c r="N44" s="10"/>
      <c r="O44" s="10">
        <f t="shared" si="0"/>
        <v>0</v>
      </c>
    </row>
    <row r="45" spans="1:15" ht="16.5" customHeight="1">
      <c r="A45" s="8" t="s">
        <v>45</v>
      </c>
      <c r="B45" s="8" t="s">
        <v>104</v>
      </c>
      <c r="C45" s="13"/>
      <c r="D45" s="13"/>
      <c r="E45" s="13"/>
      <c r="F45" s="10"/>
      <c r="G45" s="10"/>
      <c r="H45" s="10"/>
      <c r="I45" s="10"/>
      <c r="J45" s="10"/>
      <c r="K45" s="10"/>
      <c r="L45" s="10"/>
      <c r="M45" s="10"/>
      <c r="N45" s="10"/>
      <c r="O45" s="10">
        <f t="shared" si="0"/>
        <v>0</v>
      </c>
    </row>
    <row r="46" spans="1:15" ht="16.5" customHeight="1">
      <c r="A46" s="8" t="s">
        <v>45</v>
      </c>
      <c r="B46" s="8" t="s">
        <v>106</v>
      </c>
      <c r="C46" s="15"/>
      <c r="D46" s="15"/>
      <c r="E46" s="15"/>
      <c r="F46" s="10"/>
      <c r="G46" s="10"/>
      <c r="H46" s="10"/>
      <c r="I46" s="10"/>
      <c r="J46" s="10"/>
      <c r="K46" s="10"/>
      <c r="L46" s="10"/>
      <c r="M46" s="10"/>
      <c r="N46" s="10"/>
      <c r="O46" s="10">
        <f t="shared" si="0"/>
        <v>0</v>
      </c>
    </row>
    <row r="47" spans="1:15" ht="16.5" customHeight="1">
      <c r="A47" s="8" t="s">
        <v>51</v>
      </c>
      <c r="B47" s="8" t="s">
        <v>114</v>
      </c>
      <c r="C47" s="9">
        <v>1</v>
      </c>
      <c r="D47" s="9"/>
      <c r="E47" s="9">
        <v>1</v>
      </c>
      <c r="F47" s="10"/>
      <c r="G47" s="9"/>
      <c r="H47" s="9"/>
      <c r="I47" s="10"/>
      <c r="J47" s="10"/>
      <c r="K47" s="10"/>
      <c r="L47" s="10"/>
      <c r="M47" s="10"/>
      <c r="N47" s="10"/>
      <c r="O47" s="10">
        <f t="shared" si="0"/>
        <v>2</v>
      </c>
    </row>
    <row r="48" spans="1:15" ht="16.5" customHeight="1">
      <c r="A48" s="8" t="s">
        <v>51</v>
      </c>
      <c r="B48" s="8" t="s">
        <v>117</v>
      </c>
      <c r="C48" s="9">
        <v>1</v>
      </c>
      <c r="D48" s="9"/>
      <c r="E48" s="9">
        <v>1</v>
      </c>
      <c r="F48" s="10"/>
      <c r="G48" s="10"/>
      <c r="H48" s="10"/>
      <c r="I48" s="10"/>
      <c r="J48" s="10"/>
      <c r="K48" s="10"/>
      <c r="L48" s="10"/>
      <c r="M48" s="10"/>
      <c r="N48" s="10"/>
      <c r="O48" s="10">
        <f t="shared" si="0"/>
        <v>2</v>
      </c>
    </row>
    <row r="49" spans="1:15" ht="16.5" customHeight="1">
      <c r="A49" s="8" t="s">
        <v>51</v>
      </c>
      <c r="B49" s="8" t="s">
        <v>120</v>
      </c>
      <c r="C49" s="9"/>
      <c r="D49" s="9"/>
      <c r="E49" s="9"/>
      <c r="F49" s="10"/>
      <c r="G49" s="10"/>
      <c r="H49" s="10"/>
      <c r="I49" s="10"/>
      <c r="J49" s="10"/>
      <c r="K49" s="10"/>
      <c r="L49" s="10"/>
      <c r="M49" s="10"/>
      <c r="N49" s="10"/>
      <c r="O49" s="10">
        <f t="shared" si="0"/>
        <v>0</v>
      </c>
    </row>
    <row r="50" spans="1:15">
      <c r="A50" s="10" t="s">
        <v>7</v>
      </c>
      <c r="B50" s="10" t="s">
        <v>27</v>
      </c>
      <c r="C50" s="9">
        <v>1</v>
      </c>
      <c r="D50" s="9">
        <v>1</v>
      </c>
      <c r="E50" s="9"/>
      <c r="F50" s="10"/>
      <c r="G50" s="10"/>
      <c r="H50" s="10"/>
      <c r="I50" s="10"/>
      <c r="J50" s="10"/>
      <c r="K50" s="10"/>
      <c r="L50" s="10"/>
      <c r="M50" s="10"/>
      <c r="N50" s="10"/>
      <c r="O50" s="10">
        <f t="shared" si="0"/>
        <v>2</v>
      </c>
    </row>
    <row r="51" spans="1:15">
      <c r="C51" s="16"/>
      <c r="D51" s="16"/>
    </row>
    <row r="52" spans="1:15">
      <c r="C52" s="16"/>
      <c r="D52" s="16"/>
    </row>
    <row r="53" spans="1:15">
      <c r="C53" s="16"/>
      <c r="D53" s="16"/>
    </row>
    <row r="54" spans="1:15">
      <c r="C54" s="16"/>
      <c r="D54" s="16"/>
    </row>
    <row r="55" spans="1:15">
      <c r="C55" s="16"/>
      <c r="D55" s="16"/>
    </row>
    <row r="56" spans="1:15">
      <c r="C56" s="16"/>
      <c r="D56" s="16"/>
    </row>
    <row r="57" spans="1:15">
      <c r="C57" s="16"/>
      <c r="D57" s="16"/>
    </row>
    <row r="58" spans="1:15">
      <c r="C58" s="16"/>
      <c r="D58" s="16"/>
    </row>
    <row r="59" spans="1:15">
      <c r="C59" s="16"/>
      <c r="D59" s="16"/>
    </row>
    <row r="60" spans="1:15">
      <c r="C60" s="16"/>
      <c r="D60" s="16"/>
    </row>
    <row r="61" spans="1:15">
      <c r="C61" s="16"/>
      <c r="D61" s="16"/>
    </row>
    <row r="62" spans="1:15">
      <c r="C62" s="16"/>
      <c r="D62" s="16"/>
    </row>
    <row r="63" spans="1:15">
      <c r="C63" s="16"/>
      <c r="D63" s="16"/>
    </row>
    <row r="64" spans="1:15">
      <c r="C64" s="16"/>
      <c r="D64" s="16"/>
    </row>
    <row r="65" spans="3:4">
      <c r="C65" s="16"/>
      <c r="D65" s="16"/>
    </row>
    <row r="66" spans="3:4">
      <c r="C66" s="16"/>
      <c r="D66" s="16"/>
    </row>
    <row r="67" spans="3:4">
      <c r="C67" s="16"/>
      <c r="D67" s="16"/>
    </row>
    <row r="68" spans="3:4">
      <c r="C68" s="16"/>
      <c r="D68" s="16"/>
    </row>
    <row r="69" spans="3:4">
      <c r="C69" s="16"/>
      <c r="D69" s="16"/>
    </row>
    <row r="70" spans="3:4">
      <c r="C70" s="16"/>
      <c r="D70" s="16"/>
    </row>
    <row r="71" spans="3:4">
      <c r="C71" s="16"/>
      <c r="D71" s="16"/>
    </row>
    <row r="72" spans="3:4">
      <c r="C72" s="16"/>
      <c r="D72" s="16"/>
    </row>
    <row r="73" spans="3:4">
      <c r="C73" s="16"/>
      <c r="D73" s="16"/>
    </row>
    <row r="74" spans="3:4">
      <c r="C74" s="16"/>
      <c r="D74" s="16"/>
    </row>
    <row r="75" spans="3:4">
      <c r="C75" s="16"/>
      <c r="D75" s="16"/>
    </row>
    <row r="76" spans="3:4">
      <c r="C76" s="16"/>
      <c r="D76" s="16"/>
    </row>
    <row r="77" spans="3:4">
      <c r="C77" s="16"/>
      <c r="D77" s="16"/>
    </row>
    <row r="78" spans="3:4">
      <c r="C78" s="16"/>
      <c r="D78" s="16"/>
    </row>
    <row r="79" spans="3:4">
      <c r="C79" s="16"/>
      <c r="D79" s="16"/>
    </row>
    <row r="80" spans="3:4">
      <c r="C80" s="16"/>
      <c r="D80" s="16"/>
    </row>
    <row r="81" spans="3:4">
      <c r="C81" s="16"/>
      <c r="D81" s="16"/>
    </row>
    <row r="82" spans="3:4">
      <c r="C82" s="16"/>
      <c r="D82" s="16"/>
    </row>
    <row r="83" spans="3:4">
      <c r="C83" s="16"/>
      <c r="D83" s="16"/>
    </row>
    <row r="84" spans="3:4">
      <c r="C84" s="16"/>
      <c r="D84" s="16"/>
    </row>
    <row r="85" spans="3:4">
      <c r="C85" s="16"/>
      <c r="D85" s="16"/>
    </row>
    <row r="86" spans="3:4">
      <c r="C86" s="16"/>
      <c r="D86" s="16"/>
    </row>
    <row r="87" spans="3:4">
      <c r="C87" s="16"/>
      <c r="D87" s="16"/>
    </row>
    <row r="88" spans="3:4">
      <c r="C88" s="16"/>
      <c r="D88" s="16"/>
    </row>
    <row r="89" spans="3:4">
      <c r="C89" s="16"/>
      <c r="D89" s="16"/>
    </row>
    <row r="90" spans="3:4">
      <c r="C90" s="16"/>
      <c r="D90" s="16"/>
    </row>
    <row r="91" spans="3:4">
      <c r="C91" s="16"/>
      <c r="D91" s="16"/>
    </row>
    <row r="92" spans="3:4">
      <c r="C92" s="16"/>
      <c r="D92" s="16"/>
    </row>
    <row r="93" spans="3:4">
      <c r="C93" s="16"/>
      <c r="D93" s="16"/>
    </row>
    <row r="94" spans="3:4">
      <c r="C94" s="16"/>
      <c r="D94" s="16"/>
    </row>
    <row r="95" spans="3:4">
      <c r="C95" s="16"/>
      <c r="D95" s="16"/>
    </row>
    <row r="96" spans="3:4">
      <c r="C96" s="16"/>
      <c r="D96" s="16"/>
    </row>
    <row r="97" spans="3:4">
      <c r="C97" s="16"/>
      <c r="D97" s="16"/>
    </row>
    <row r="98" spans="3:4">
      <c r="C98" s="16"/>
      <c r="D98" s="16"/>
    </row>
    <row r="99" spans="3:4">
      <c r="C99" s="16"/>
      <c r="D99" s="16"/>
    </row>
    <row r="100" spans="3:4">
      <c r="C100" s="16"/>
      <c r="D100" s="16"/>
    </row>
    <row r="101" spans="3:4">
      <c r="C101" s="16"/>
      <c r="D101" s="16"/>
    </row>
    <row r="102" spans="3:4">
      <c r="C102" s="16"/>
      <c r="D102" s="16"/>
    </row>
    <row r="103" spans="3:4">
      <c r="C103" s="16"/>
      <c r="D103" s="16"/>
    </row>
    <row r="104" spans="3:4">
      <c r="C104" s="16"/>
      <c r="D104" s="16"/>
    </row>
    <row r="105" spans="3:4">
      <c r="C105" s="16"/>
      <c r="D105" s="16"/>
    </row>
    <row r="106" spans="3:4">
      <c r="C106" s="16"/>
      <c r="D106" s="16"/>
    </row>
    <row r="107" spans="3:4">
      <c r="C107" s="16"/>
      <c r="D107" s="16"/>
    </row>
    <row r="108" spans="3:4">
      <c r="C108" s="16"/>
      <c r="D108" s="16"/>
    </row>
    <row r="109" spans="3:4">
      <c r="C109" s="16"/>
      <c r="D109" s="16"/>
    </row>
    <row r="110" spans="3:4">
      <c r="C110" s="16"/>
      <c r="D110" s="16"/>
    </row>
    <row r="111" spans="3:4">
      <c r="C111" s="16"/>
      <c r="D111" s="16"/>
    </row>
    <row r="112" spans="3:4">
      <c r="C112" s="16"/>
      <c r="D112" s="16"/>
    </row>
    <row r="113" spans="3:4">
      <c r="C113" s="16"/>
      <c r="D113" s="16"/>
    </row>
    <row r="114" spans="3:4">
      <c r="C114" s="16"/>
      <c r="D114" s="16"/>
    </row>
    <row r="115" spans="3:4">
      <c r="C115" s="16"/>
      <c r="D115" s="16"/>
    </row>
    <row r="116" spans="3:4">
      <c r="C116" s="16"/>
      <c r="D116" s="16"/>
    </row>
    <row r="117" spans="3:4">
      <c r="C117" s="16"/>
      <c r="D117" s="16"/>
    </row>
    <row r="118" spans="3:4">
      <c r="C118" s="16"/>
      <c r="D118" s="16"/>
    </row>
    <row r="119" spans="3:4">
      <c r="C119" s="16"/>
      <c r="D119" s="16"/>
    </row>
    <row r="120" spans="3:4">
      <c r="C120" s="16"/>
      <c r="D120" s="16"/>
    </row>
    <row r="121" spans="3:4">
      <c r="C121" s="16"/>
      <c r="D121" s="16"/>
    </row>
    <row r="122" spans="3:4">
      <c r="C122" s="16"/>
      <c r="D122" s="16"/>
    </row>
    <row r="123" spans="3:4">
      <c r="C123" s="16"/>
      <c r="D123" s="16"/>
    </row>
    <row r="124" spans="3:4">
      <c r="C124" s="16"/>
      <c r="D124" s="16"/>
    </row>
    <row r="125" spans="3:4">
      <c r="C125" s="16"/>
      <c r="D125" s="16"/>
    </row>
    <row r="126" spans="3:4">
      <c r="C126" s="16"/>
      <c r="D126" s="16"/>
    </row>
    <row r="127" spans="3:4">
      <c r="C127" s="16"/>
      <c r="D127" s="16"/>
    </row>
    <row r="128" spans="3:4">
      <c r="C128" s="16"/>
      <c r="D128" s="16"/>
    </row>
    <row r="129" spans="3:4">
      <c r="C129" s="16"/>
      <c r="D129" s="16"/>
    </row>
    <row r="130" spans="3:4">
      <c r="C130" s="16"/>
      <c r="D130" s="16"/>
    </row>
    <row r="131" spans="3:4">
      <c r="C131" s="16"/>
      <c r="D131" s="16"/>
    </row>
    <row r="132" spans="3:4">
      <c r="C132" s="16"/>
      <c r="D132" s="16"/>
    </row>
    <row r="133" spans="3:4">
      <c r="C133" s="16"/>
      <c r="D133" s="16"/>
    </row>
    <row r="134" spans="3:4">
      <c r="C134" s="16"/>
      <c r="D134" s="16"/>
    </row>
    <row r="135" spans="3:4">
      <c r="C135" s="16"/>
      <c r="D135" s="16"/>
    </row>
    <row r="136" spans="3:4">
      <c r="C136" s="16"/>
      <c r="D136" s="16"/>
    </row>
    <row r="137" spans="3:4">
      <c r="C137" s="16"/>
      <c r="D137" s="16"/>
    </row>
    <row r="138" spans="3:4">
      <c r="C138" s="16"/>
      <c r="D138" s="16"/>
    </row>
    <row r="139" spans="3:4">
      <c r="C139" s="16"/>
      <c r="D139" s="16"/>
    </row>
    <row r="140" spans="3:4">
      <c r="C140" s="16"/>
      <c r="D140" s="16"/>
    </row>
    <row r="141" spans="3:4">
      <c r="C141" s="16"/>
      <c r="D141" s="16"/>
    </row>
    <row r="142" spans="3:4">
      <c r="C142" s="16"/>
      <c r="D142" s="16"/>
    </row>
    <row r="143" spans="3:4">
      <c r="C143" s="16"/>
      <c r="D143" s="16"/>
    </row>
    <row r="144" spans="3:4">
      <c r="C144" s="16"/>
      <c r="D144" s="16"/>
    </row>
    <row r="145" spans="3:4">
      <c r="C145" s="16"/>
      <c r="D145" s="16"/>
    </row>
    <row r="146" spans="3:4">
      <c r="C146" s="16"/>
      <c r="D146" s="16"/>
    </row>
    <row r="147" spans="3:4">
      <c r="C147" s="16"/>
      <c r="D147" s="16"/>
    </row>
    <row r="148" spans="3:4">
      <c r="C148" s="16"/>
      <c r="D148" s="16"/>
    </row>
    <row r="149" spans="3:4">
      <c r="C149" s="16"/>
      <c r="D149" s="16"/>
    </row>
    <row r="150" spans="3:4">
      <c r="C150" s="16"/>
      <c r="D150" s="16"/>
    </row>
    <row r="151" spans="3:4">
      <c r="C151" s="16"/>
      <c r="D151" s="16"/>
    </row>
    <row r="152" spans="3:4">
      <c r="C152" s="16"/>
      <c r="D152" s="16"/>
    </row>
    <row r="153" spans="3:4">
      <c r="C153" s="16"/>
      <c r="D153" s="16"/>
    </row>
    <row r="154" spans="3:4">
      <c r="C154" s="16"/>
      <c r="D154" s="16"/>
    </row>
    <row r="155" spans="3:4">
      <c r="C155" s="16"/>
      <c r="D155" s="16"/>
    </row>
    <row r="156" spans="3:4">
      <c r="C156" s="16"/>
      <c r="D156" s="16"/>
    </row>
    <row r="157" spans="3:4">
      <c r="C157" s="16"/>
      <c r="D157" s="16"/>
    </row>
    <row r="158" spans="3:4">
      <c r="C158" s="16"/>
      <c r="D158" s="16"/>
    </row>
    <row r="159" spans="3:4">
      <c r="C159" s="16"/>
      <c r="D159" s="16"/>
    </row>
    <row r="160" spans="3:4">
      <c r="C160" s="16"/>
      <c r="D160" s="16"/>
    </row>
    <row r="161" spans="3:4">
      <c r="C161" s="16"/>
      <c r="D161" s="16"/>
    </row>
    <row r="162" spans="3:4">
      <c r="C162" s="16"/>
      <c r="D162" s="16"/>
    </row>
    <row r="163" spans="3:4">
      <c r="C163" s="16"/>
      <c r="D163" s="16"/>
    </row>
    <row r="164" spans="3:4">
      <c r="C164" s="16"/>
      <c r="D164" s="16"/>
    </row>
    <row r="165" spans="3:4">
      <c r="C165" s="16"/>
      <c r="D165" s="16"/>
    </row>
    <row r="166" spans="3:4">
      <c r="C166" s="16"/>
      <c r="D166" s="16"/>
    </row>
    <row r="167" spans="3:4">
      <c r="C167" s="16"/>
      <c r="D167" s="16"/>
    </row>
    <row r="168" spans="3:4">
      <c r="C168" s="16"/>
      <c r="D168" s="16"/>
    </row>
    <row r="169" spans="3:4">
      <c r="C169" s="16"/>
      <c r="D169" s="16"/>
    </row>
    <row r="170" spans="3:4">
      <c r="C170" s="16"/>
      <c r="D170" s="16"/>
    </row>
    <row r="171" spans="3:4">
      <c r="C171" s="16"/>
      <c r="D171" s="16"/>
    </row>
    <row r="172" spans="3:4">
      <c r="C172" s="16"/>
      <c r="D172" s="16"/>
    </row>
    <row r="173" spans="3:4">
      <c r="C173" s="16"/>
      <c r="D173" s="16"/>
    </row>
    <row r="174" spans="3:4">
      <c r="C174" s="16"/>
      <c r="D174" s="16"/>
    </row>
    <row r="175" spans="3:4">
      <c r="C175" s="16"/>
      <c r="D175" s="16"/>
    </row>
    <row r="176" spans="3:4">
      <c r="C176" s="16"/>
      <c r="D176" s="16"/>
    </row>
    <row r="177" spans="3:4">
      <c r="C177" s="16"/>
      <c r="D177" s="16"/>
    </row>
    <row r="178" spans="3:4">
      <c r="C178" s="16"/>
      <c r="D178" s="16"/>
    </row>
    <row r="179" spans="3:4">
      <c r="C179" s="16"/>
      <c r="D179" s="16"/>
    </row>
    <row r="180" spans="3:4">
      <c r="C180" s="16"/>
      <c r="D180" s="16"/>
    </row>
    <row r="181" spans="3:4">
      <c r="C181" s="16"/>
      <c r="D181" s="16"/>
    </row>
    <row r="182" spans="3:4">
      <c r="C182" s="16"/>
      <c r="D182" s="16"/>
    </row>
    <row r="183" spans="3:4">
      <c r="C183" s="16"/>
      <c r="D183" s="16"/>
    </row>
    <row r="184" spans="3:4">
      <c r="C184" s="16"/>
      <c r="D184" s="16"/>
    </row>
    <row r="185" spans="3:4">
      <c r="C185" s="16"/>
      <c r="D185" s="16"/>
    </row>
    <row r="186" spans="3:4">
      <c r="C186" s="16"/>
      <c r="D186" s="16"/>
    </row>
    <row r="187" spans="3:4">
      <c r="C187" s="16"/>
      <c r="D187" s="16"/>
    </row>
    <row r="188" spans="3:4">
      <c r="C188" s="16"/>
      <c r="D188" s="16"/>
    </row>
    <row r="189" spans="3:4">
      <c r="C189" s="16"/>
      <c r="D189" s="16"/>
    </row>
    <row r="190" spans="3:4">
      <c r="C190" s="16"/>
      <c r="D190" s="16"/>
    </row>
    <row r="191" spans="3:4">
      <c r="C191" s="16"/>
      <c r="D191" s="16"/>
    </row>
    <row r="192" spans="3:4">
      <c r="C192" s="16"/>
      <c r="D192" s="16"/>
    </row>
    <row r="193" spans="3:4">
      <c r="C193" s="16"/>
      <c r="D193" s="16"/>
    </row>
    <row r="194" spans="3:4">
      <c r="C194" s="16"/>
      <c r="D194" s="16"/>
    </row>
    <row r="195" spans="3:4">
      <c r="C195" s="16"/>
      <c r="D195" s="16"/>
    </row>
    <row r="196" spans="3:4">
      <c r="C196" s="16"/>
      <c r="D196" s="16"/>
    </row>
    <row r="197" spans="3:4">
      <c r="C197" s="16"/>
      <c r="D197" s="16"/>
    </row>
    <row r="198" spans="3:4">
      <c r="C198" s="16"/>
      <c r="D198" s="16"/>
    </row>
    <row r="199" spans="3:4">
      <c r="C199" s="16"/>
      <c r="D199" s="16"/>
    </row>
    <row r="200" spans="3:4">
      <c r="C200" s="16"/>
      <c r="D200" s="16"/>
    </row>
    <row r="201" spans="3:4">
      <c r="C201" s="16"/>
      <c r="D201" s="16"/>
    </row>
    <row r="202" spans="3:4">
      <c r="C202" s="16"/>
      <c r="D202" s="16"/>
    </row>
    <row r="203" spans="3:4">
      <c r="C203" s="16"/>
      <c r="D203" s="16"/>
    </row>
  </sheetData>
  <mergeCells count="1">
    <mergeCell ref="A1:O1"/>
  </mergeCells>
  <phoneticPr fontId="1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38"/>
  <sheetViews>
    <sheetView workbookViewId="0"/>
  </sheetViews>
  <sheetFormatPr baseColWidth="10" defaultColWidth="10.83203125" defaultRowHeight="15" customHeight="1"/>
  <cols>
    <col min="1" max="1" width="6.83203125" style="23" customWidth="1"/>
    <col min="2" max="2" width="8.83203125" style="23" customWidth="1"/>
    <col min="3" max="3" width="19.6640625" style="23" customWidth="1"/>
    <col min="4" max="4" width="13" style="23" customWidth="1"/>
    <col min="5" max="6" width="30.5" style="23" hidden="1" customWidth="1"/>
    <col min="7" max="7" width="30.5" style="23" customWidth="1"/>
    <col min="8" max="26" width="10.83203125" style="23" customWidth="1"/>
  </cols>
  <sheetData>
    <row r="1" spans="1:9" ht="15" customHeight="1">
      <c r="A1" s="21"/>
      <c r="B1" s="22" t="s">
        <v>0</v>
      </c>
      <c r="C1" s="22" t="s">
        <v>1</v>
      </c>
      <c r="D1" s="22" t="s">
        <v>154</v>
      </c>
      <c r="E1" s="23" t="s">
        <v>155</v>
      </c>
      <c r="F1" s="23" t="s">
        <v>156</v>
      </c>
      <c r="G1" s="23" t="s">
        <v>3</v>
      </c>
      <c r="H1" s="22" t="s">
        <v>5</v>
      </c>
      <c r="I1" s="24">
        <f>SUM(I2:I101)</f>
        <v>36</v>
      </c>
    </row>
    <row r="2" spans="1:9" ht="15.75" customHeight="1">
      <c r="A2" s="24">
        <v>1</v>
      </c>
      <c r="B2" s="24" t="s">
        <v>157</v>
      </c>
      <c r="C2" s="24" t="s">
        <v>158</v>
      </c>
      <c r="D2" s="24" t="s">
        <v>9</v>
      </c>
      <c r="E2" s="23" t="s">
        <v>77</v>
      </c>
      <c r="F2" s="23" t="s">
        <v>32</v>
      </c>
      <c r="G2" s="23" t="s">
        <v>10</v>
      </c>
      <c r="H2" s="23" t="s">
        <v>157</v>
      </c>
      <c r="I2" s="23">
        <v>7</v>
      </c>
    </row>
    <row r="3" spans="1:9" ht="15" customHeight="1">
      <c r="A3" s="24">
        <v>2</v>
      </c>
      <c r="B3" s="24" t="s">
        <v>157</v>
      </c>
      <c r="C3" s="24" t="s">
        <v>18</v>
      </c>
      <c r="D3" s="24" t="s">
        <v>9</v>
      </c>
      <c r="E3" s="23" t="s">
        <v>77</v>
      </c>
      <c r="H3" s="23" t="s">
        <v>159</v>
      </c>
      <c r="I3" s="23">
        <v>6</v>
      </c>
    </row>
    <row r="4" spans="1:9" ht="15" customHeight="1">
      <c r="A4" s="24">
        <v>3</v>
      </c>
      <c r="B4" s="24" t="s">
        <v>157</v>
      </c>
      <c r="C4" s="24" t="s">
        <v>27</v>
      </c>
      <c r="D4" s="24" t="s">
        <v>9</v>
      </c>
      <c r="E4" s="23" t="s">
        <v>160</v>
      </c>
      <c r="F4" s="23" t="s">
        <v>53</v>
      </c>
      <c r="H4" s="23" t="s">
        <v>161</v>
      </c>
      <c r="I4" s="23">
        <v>8</v>
      </c>
    </row>
    <row r="5" spans="1:9" ht="15" customHeight="1">
      <c r="A5" s="24">
        <v>4</v>
      </c>
      <c r="B5" s="24" t="s">
        <v>157</v>
      </c>
      <c r="C5" s="24" t="s">
        <v>162</v>
      </c>
      <c r="D5" s="24" t="s">
        <v>9</v>
      </c>
      <c r="E5" s="23" t="s">
        <v>160</v>
      </c>
      <c r="F5" s="23" t="s">
        <v>163</v>
      </c>
      <c r="G5" s="23" t="s">
        <v>10</v>
      </c>
      <c r="H5" s="23" t="s">
        <v>164</v>
      </c>
      <c r="I5" s="23">
        <v>8</v>
      </c>
    </row>
    <row r="6" spans="1:9" ht="15" customHeight="1">
      <c r="A6" s="24">
        <v>5</v>
      </c>
      <c r="B6" s="24" t="s">
        <v>157</v>
      </c>
      <c r="C6" s="24" t="s">
        <v>165</v>
      </c>
      <c r="D6" s="24" t="s">
        <v>9</v>
      </c>
      <c r="F6" s="23" t="s">
        <v>166</v>
      </c>
      <c r="H6" s="23" t="s">
        <v>167</v>
      </c>
      <c r="I6" s="23">
        <v>4</v>
      </c>
    </row>
    <row r="7" spans="1:9" ht="15" customHeight="1">
      <c r="A7" s="24">
        <v>6</v>
      </c>
      <c r="B7" s="24" t="s">
        <v>157</v>
      </c>
      <c r="C7" s="24" t="s">
        <v>168</v>
      </c>
      <c r="D7" s="25"/>
      <c r="E7" s="23" t="s">
        <v>169</v>
      </c>
      <c r="H7" s="23" t="s">
        <v>170</v>
      </c>
      <c r="I7" s="23">
        <v>3</v>
      </c>
    </row>
    <row r="8" spans="1:9" ht="15" customHeight="1">
      <c r="A8" s="24">
        <v>7</v>
      </c>
      <c r="B8" s="24" t="s">
        <v>157</v>
      </c>
      <c r="C8" s="24" t="s">
        <v>171</v>
      </c>
      <c r="D8" s="24" t="s">
        <v>9</v>
      </c>
      <c r="E8" s="23" t="s">
        <v>169</v>
      </c>
      <c r="F8" s="23" t="s">
        <v>172</v>
      </c>
    </row>
    <row r="9" spans="1:9" ht="15" customHeight="1">
      <c r="A9" s="24">
        <v>8</v>
      </c>
      <c r="B9" s="24" t="s">
        <v>157</v>
      </c>
      <c r="C9" s="26" t="s">
        <v>173</v>
      </c>
      <c r="D9" s="24" t="s">
        <v>9</v>
      </c>
      <c r="F9" s="23" t="s">
        <v>174</v>
      </c>
    </row>
    <row r="10" spans="1:9" ht="15" customHeight="1">
      <c r="A10" s="24">
        <v>1</v>
      </c>
      <c r="B10" s="24" t="s">
        <v>159</v>
      </c>
      <c r="C10" s="24" t="s">
        <v>56</v>
      </c>
      <c r="D10" s="24" t="s">
        <v>9</v>
      </c>
      <c r="F10" s="23" t="s">
        <v>10</v>
      </c>
    </row>
    <row r="11" spans="1:9" ht="15" customHeight="1">
      <c r="A11" s="24">
        <v>2</v>
      </c>
      <c r="B11" s="24" t="s">
        <v>159</v>
      </c>
      <c r="C11" s="24" t="s">
        <v>50</v>
      </c>
      <c r="D11" s="24" t="s">
        <v>9</v>
      </c>
      <c r="E11" s="23" t="s">
        <v>53</v>
      </c>
      <c r="F11" s="23" t="s">
        <v>175</v>
      </c>
    </row>
    <row r="12" spans="1:9" ht="15" customHeight="1">
      <c r="A12" s="24">
        <v>3</v>
      </c>
      <c r="B12" s="24" t="s">
        <v>159</v>
      </c>
      <c r="C12" s="24" t="s">
        <v>54</v>
      </c>
      <c r="D12" s="24" t="s">
        <v>9</v>
      </c>
      <c r="F12" s="23" t="s">
        <v>160</v>
      </c>
    </row>
    <row r="13" spans="1:9" ht="15" customHeight="1">
      <c r="A13" s="24">
        <v>4</v>
      </c>
      <c r="B13" s="24" t="s">
        <v>159</v>
      </c>
      <c r="C13" s="24" t="s">
        <v>44</v>
      </c>
      <c r="D13" s="24" t="s">
        <v>9</v>
      </c>
      <c r="F13" s="23" t="s">
        <v>176</v>
      </c>
      <c r="G13" s="23" t="s">
        <v>10</v>
      </c>
    </row>
    <row r="14" spans="1:9" ht="15" customHeight="1">
      <c r="A14" s="24">
        <v>5</v>
      </c>
      <c r="B14" s="24" t="s">
        <v>159</v>
      </c>
      <c r="C14" s="24" t="s">
        <v>55</v>
      </c>
      <c r="D14" s="24" t="s">
        <v>9</v>
      </c>
    </row>
    <row r="15" spans="1:9" ht="15" customHeight="1">
      <c r="A15" s="24">
        <v>6</v>
      </c>
      <c r="B15" s="24" t="s">
        <v>159</v>
      </c>
      <c r="C15" s="24" t="s">
        <v>41</v>
      </c>
      <c r="D15" s="24" t="s">
        <v>9</v>
      </c>
      <c r="F15" s="23" t="s">
        <v>177</v>
      </c>
      <c r="G15" s="23" t="s">
        <v>88</v>
      </c>
    </row>
    <row r="16" spans="1:9" ht="15" customHeight="1">
      <c r="A16" s="24">
        <v>1</v>
      </c>
      <c r="B16" s="24" t="s">
        <v>161</v>
      </c>
      <c r="C16" s="24" t="s">
        <v>58</v>
      </c>
      <c r="D16" s="24" t="s">
        <v>9</v>
      </c>
      <c r="F16" s="23" t="s">
        <v>178</v>
      </c>
    </row>
    <row r="17" spans="1:7" ht="15.75" customHeight="1">
      <c r="A17" s="24">
        <v>2</v>
      </c>
      <c r="B17" s="24" t="s">
        <v>161</v>
      </c>
      <c r="C17" s="24" t="s">
        <v>67</v>
      </c>
      <c r="D17" s="24" t="s">
        <v>9</v>
      </c>
      <c r="E17" s="23" t="s">
        <v>66</v>
      </c>
      <c r="F17" s="23" t="s">
        <v>179</v>
      </c>
      <c r="G17" s="23" t="s">
        <v>53</v>
      </c>
    </row>
    <row r="18" spans="1:7" ht="15" customHeight="1">
      <c r="A18" s="24">
        <v>3</v>
      </c>
      <c r="B18" s="24" t="s">
        <v>161</v>
      </c>
      <c r="C18" s="24" t="s">
        <v>74</v>
      </c>
      <c r="D18" s="24" t="s">
        <v>9</v>
      </c>
      <c r="E18" s="23" t="s">
        <v>169</v>
      </c>
      <c r="F18" s="23" t="s">
        <v>125</v>
      </c>
      <c r="G18" s="23" t="s">
        <v>59</v>
      </c>
    </row>
    <row r="19" spans="1:7" ht="15" customHeight="1">
      <c r="A19" s="24">
        <v>4</v>
      </c>
      <c r="B19" s="24" t="s">
        <v>161</v>
      </c>
      <c r="C19" s="24" t="s">
        <v>63</v>
      </c>
      <c r="D19" s="24" t="s">
        <v>9</v>
      </c>
      <c r="F19" s="23" t="s">
        <v>10</v>
      </c>
    </row>
    <row r="20" spans="1:7" ht="15" customHeight="1">
      <c r="A20" s="24">
        <v>5</v>
      </c>
      <c r="B20" s="24" t="s">
        <v>161</v>
      </c>
      <c r="C20" s="24" t="s">
        <v>71</v>
      </c>
      <c r="D20" s="24" t="s">
        <v>9</v>
      </c>
      <c r="E20" s="23" t="s">
        <v>59</v>
      </c>
      <c r="F20" s="23" t="s">
        <v>10</v>
      </c>
    </row>
    <row r="21" spans="1:7" ht="15" customHeight="1">
      <c r="A21" s="24">
        <v>6</v>
      </c>
      <c r="B21" s="24" t="s">
        <v>161</v>
      </c>
      <c r="C21" s="24" t="s">
        <v>60</v>
      </c>
      <c r="D21" s="24" t="s">
        <v>9</v>
      </c>
      <c r="E21" s="23" t="s">
        <v>180</v>
      </c>
      <c r="F21" s="23" t="s">
        <v>28</v>
      </c>
    </row>
    <row r="22" spans="1:7" ht="15" customHeight="1">
      <c r="A22" s="24">
        <v>7</v>
      </c>
      <c r="B22" s="24" t="s">
        <v>161</v>
      </c>
      <c r="C22" s="24" t="s">
        <v>65</v>
      </c>
      <c r="D22" s="24" t="s">
        <v>9</v>
      </c>
      <c r="E22" s="23" t="s">
        <v>115</v>
      </c>
      <c r="F22" s="23" t="s">
        <v>181</v>
      </c>
    </row>
    <row r="23" spans="1:7" ht="15" customHeight="1">
      <c r="A23" s="24">
        <v>8</v>
      </c>
      <c r="B23" s="24" t="s">
        <v>161</v>
      </c>
      <c r="C23" s="24" t="s">
        <v>68</v>
      </c>
      <c r="D23" s="24" t="s">
        <v>9</v>
      </c>
      <c r="F23" s="23" t="s">
        <v>103</v>
      </c>
      <c r="G23" s="23" t="s">
        <v>10</v>
      </c>
    </row>
    <row r="24" spans="1:7" ht="15" customHeight="1">
      <c r="A24" s="24">
        <v>1</v>
      </c>
      <c r="B24" s="24" t="s">
        <v>164</v>
      </c>
      <c r="C24" s="24" t="s">
        <v>114</v>
      </c>
      <c r="D24" s="24" t="s">
        <v>9</v>
      </c>
      <c r="F24" s="23" t="s">
        <v>14</v>
      </c>
      <c r="G24" s="23" t="s">
        <v>10</v>
      </c>
    </row>
    <row r="25" spans="1:7" ht="15" customHeight="1">
      <c r="A25" s="24">
        <v>2</v>
      </c>
      <c r="B25" s="24" t="s">
        <v>164</v>
      </c>
      <c r="C25" s="24" t="s">
        <v>117</v>
      </c>
      <c r="D25" s="24" t="s">
        <v>9</v>
      </c>
      <c r="E25" s="23" t="s">
        <v>59</v>
      </c>
      <c r="F25" s="23" t="s">
        <v>28</v>
      </c>
    </row>
    <row r="26" spans="1:7" ht="15" customHeight="1">
      <c r="A26" s="24">
        <v>3</v>
      </c>
      <c r="B26" s="24" t="s">
        <v>164</v>
      </c>
      <c r="C26" s="24" t="s">
        <v>90</v>
      </c>
      <c r="D26" s="24" t="s">
        <v>9</v>
      </c>
      <c r="F26" s="23" t="s">
        <v>53</v>
      </c>
    </row>
    <row r="27" spans="1:7" ht="15.75" customHeight="1">
      <c r="A27" s="24">
        <v>4</v>
      </c>
      <c r="B27" s="24" t="s">
        <v>164</v>
      </c>
      <c r="C27" s="24" t="s">
        <v>102</v>
      </c>
      <c r="D27" s="24" t="s">
        <v>9</v>
      </c>
      <c r="E27" s="23" t="s">
        <v>10</v>
      </c>
      <c r="F27" s="23" t="s">
        <v>182</v>
      </c>
    </row>
    <row r="28" spans="1:7" ht="15" customHeight="1">
      <c r="A28" s="24">
        <v>5</v>
      </c>
      <c r="B28" s="24" t="s">
        <v>164</v>
      </c>
      <c r="C28" s="24" t="s">
        <v>87</v>
      </c>
      <c r="D28" s="24" t="s">
        <v>9</v>
      </c>
      <c r="E28" s="23" t="s">
        <v>59</v>
      </c>
      <c r="F28" s="23" t="s">
        <v>179</v>
      </c>
    </row>
    <row r="29" spans="1:7" ht="15" customHeight="1">
      <c r="A29" s="24">
        <v>6</v>
      </c>
      <c r="B29" s="24" t="s">
        <v>164</v>
      </c>
      <c r="C29" s="24" t="s">
        <v>101</v>
      </c>
      <c r="D29" s="24" t="s">
        <v>9</v>
      </c>
      <c r="F29" s="23" t="s">
        <v>126</v>
      </c>
      <c r="G29" s="23" t="s">
        <v>10</v>
      </c>
    </row>
    <row r="30" spans="1:7" ht="15.75" customHeight="1">
      <c r="A30" s="24">
        <v>7</v>
      </c>
      <c r="B30" s="24" t="s">
        <v>164</v>
      </c>
      <c r="C30" s="24" t="s">
        <v>93</v>
      </c>
      <c r="D30" s="24" t="s">
        <v>9</v>
      </c>
      <c r="E30" s="23" t="s">
        <v>88</v>
      </c>
      <c r="F30" s="23" t="s">
        <v>77</v>
      </c>
      <c r="G30" s="23" t="s">
        <v>59</v>
      </c>
    </row>
    <row r="31" spans="1:7" ht="15.75" customHeight="1">
      <c r="A31" s="24">
        <v>8</v>
      </c>
      <c r="B31" s="24" t="s">
        <v>164</v>
      </c>
      <c r="C31" s="24" t="s">
        <v>91</v>
      </c>
      <c r="D31" s="24" t="s">
        <v>9</v>
      </c>
      <c r="E31" s="23" t="s">
        <v>183</v>
      </c>
      <c r="F31" s="23" t="s">
        <v>66</v>
      </c>
    </row>
    <row r="32" spans="1:7" ht="15" customHeight="1">
      <c r="A32" s="24">
        <v>1</v>
      </c>
      <c r="B32" s="24" t="s">
        <v>167</v>
      </c>
      <c r="C32" s="24" t="s">
        <v>107</v>
      </c>
      <c r="D32" s="24" t="s">
        <v>9</v>
      </c>
      <c r="F32" s="23" t="s">
        <v>184</v>
      </c>
      <c r="G32" s="23" t="s">
        <v>59</v>
      </c>
    </row>
    <row r="33" spans="1:7" ht="15" customHeight="1">
      <c r="A33" s="24">
        <v>2</v>
      </c>
      <c r="B33" s="24" t="s">
        <v>167</v>
      </c>
      <c r="C33" s="24" t="s">
        <v>110</v>
      </c>
      <c r="D33" s="24" t="s">
        <v>9</v>
      </c>
      <c r="F33" s="23" t="s">
        <v>185</v>
      </c>
      <c r="G33" s="23" t="s">
        <v>59</v>
      </c>
    </row>
    <row r="34" spans="1:7" ht="15" customHeight="1">
      <c r="A34" s="24">
        <v>3</v>
      </c>
      <c r="B34" s="24" t="s">
        <v>167</v>
      </c>
      <c r="C34" s="24" t="s">
        <v>111</v>
      </c>
      <c r="D34" s="24" t="s">
        <v>9</v>
      </c>
      <c r="E34" s="23" t="s">
        <v>77</v>
      </c>
      <c r="F34" s="23" t="s">
        <v>23</v>
      </c>
    </row>
    <row r="35" spans="1:7" ht="15" customHeight="1">
      <c r="A35" s="24">
        <v>4</v>
      </c>
      <c r="B35" s="24" t="s">
        <v>167</v>
      </c>
      <c r="C35" s="24" t="s">
        <v>112</v>
      </c>
      <c r="D35" s="24" t="s">
        <v>9</v>
      </c>
      <c r="F35" s="23" t="s">
        <v>53</v>
      </c>
      <c r="G35" s="23" t="s">
        <v>10</v>
      </c>
    </row>
    <row r="36" spans="1:7" ht="15" customHeight="1">
      <c r="A36" s="24">
        <v>1</v>
      </c>
      <c r="B36" s="24" t="s">
        <v>170</v>
      </c>
      <c r="C36" s="24" t="s">
        <v>78</v>
      </c>
      <c r="D36" s="24" t="s">
        <v>9</v>
      </c>
      <c r="E36" s="23" t="s">
        <v>77</v>
      </c>
      <c r="F36" s="23" t="s">
        <v>186</v>
      </c>
    </row>
    <row r="37" spans="1:7" ht="15" customHeight="1">
      <c r="A37" s="24">
        <v>2</v>
      </c>
      <c r="B37" s="24" t="s">
        <v>170</v>
      </c>
      <c r="C37" s="24" t="s">
        <v>83</v>
      </c>
      <c r="D37" s="24" t="s">
        <v>9</v>
      </c>
      <c r="E37" s="23" t="s">
        <v>169</v>
      </c>
      <c r="F37" s="23" t="s">
        <v>187</v>
      </c>
      <c r="G37" s="23" t="s">
        <v>59</v>
      </c>
    </row>
    <row r="38" spans="1:7" ht="15" customHeight="1">
      <c r="A38" s="24">
        <v>3</v>
      </c>
      <c r="B38" s="24" t="s">
        <v>170</v>
      </c>
      <c r="C38" s="24" t="s">
        <v>81</v>
      </c>
      <c r="D38" s="24" t="s">
        <v>9</v>
      </c>
      <c r="F38" s="23" t="s">
        <v>188</v>
      </c>
      <c r="G38" s="23" t="s">
        <v>10</v>
      </c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2025年日报</vt:lpstr>
      <vt:lpstr>2026年日报</vt:lpstr>
      <vt:lpstr>2025月报</vt:lpstr>
      <vt:lpstr>月报(2026)</vt:lpstr>
      <vt:lpstr>旧表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Linxz</cp:lastModifiedBy>
  <dcterms:created xsi:type="dcterms:W3CDTF">2026-03-25T09:11:06Z</dcterms:created>
  <dcterms:modified xsi:type="dcterms:W3CDTF">2026-04-02T01:11:55Z</dcterms:modified>
</cp:coreProperties>
</file>