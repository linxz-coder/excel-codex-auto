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562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58"/>
  <sheetViews>
    <sheetView tabSelected="1" workbookViewId="0">
      <selection activeCell="E13" sqref="E13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46122</v>
      </c>
    </row>
    <row customHeight="1" ht="16.5" r="2" s="53">
      <c r="A2" s="64" t="inlineStr">
        <is>
          <t>区域</t>
        </is>
      </c>
      <c r="B2" s="64" t="inlineStr">
        <is>
          <t>中心</t>
        </is>
      </c>
      <c r="C2" s="64" t="inlineStr">
        <is>
          <t>是否签到</t>
        </is>
      </c>
      <c r="D2" s="71" t="inlineStr">
        <is>
          <t>2026年</t>
        </is>
      </c>
      <c r="E2" s="72" t="inlineStr">
        <is>
          <t>特殊情况</t>
        </is>
      </c>
      <c r="F2" s="79" t="inlineStr">
        <is>
          <t>区域别名</t>
        </is>
      </c>
      <c r="G2" s="68" t="inlineStr">
        <is>
          <t>中心总数</t>
        </is>
      </c>
      <c r="H2" s="24">
        <f>SUM(H3:H104)</f>
        <v/>
      </c>
      <c r="J2" s="67" t="inlineStr">
        <is>
          <t>中心总数(排除新中心）</t>
        </is>
      </c>
      <c r="K2" s="65">
        <f>SUM(K3:K104)</f>
        <v/>
      </c>
    </row>
    <row customHeight="1" ht="16.5" r="3" s="53">
      <c r="A3" s="64" t="inlineStr">
        <is>
          <t>华南一区</t>
        </is>
      </c>
      <c r="B3" s="64" t="inlineStr">
        <is>
          <t>深圳南山南油中心</t>
        </is>
      </c>
      <c r="C3" s="64" t="inlineStr">
        <is>
          <t>是</t>
        </is>
      </c>
      <c r="D3" s="73" t="n"/>
      <c r="E3" s="71" t="n"/>
      <c r="F3" s="79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4" t="inlineStr">
        <is>
          <t>华南一区</t>
        </is>
      </c>
      <c r="K3" s="65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4" t="inlineStr">
        <is>
          <t>华南一区</t>
        </is>
      </c>
      <c r="B4" s="64" t="inlineStr">
        <is>
          <t>深圳龙岗龙城中心</t>
        </is>
      </c>
      <c r="C4" s="64" t="inlineStr">
        <is>
          <t>是</t>
        </is>
      </c>
      <c r="D4" s="74" t="n"/>
      <c r="E4" s="72" t="n"/>
      <c r="F4" s="79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4" t="inlineStr">
        <is>
          <t>华南二区</t>
        </is>
      </c>
      <c r="K4" s="65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5" t="inlineStr">
        <is>
          <t>华南一区</t>
        </is>
      </c>
      <c r="B5" s="75" t="inlineStr">
        <is>
          <t>深圳宝安中心</t>
        </is>
      </c>
      <c r="C5" s="75" t="inlineStr">
        <is>
          <t>是</t>
        </is>
      </c>
      <c r="D5" s="71" t="inlineStr">
        <is>
          <t>累计未发2次</t>
        </is>
      </c>
      <c r="E5" s="72" t="n"/>
      <c r="F5" s="79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4" t="inlineStr">
        <is>
          <t>华南三区</t>
        </is>
      </c>
      <c r="K5" s="65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5" t="inlineStr">
        <is>
          <t>华南一区</t>
        </is>
      </c>
      <c r="B6" s="75" t="inlineStr">
        <is>
          <t>深圳光明中心</t>
        </is>
      </c>
      <c r="C6" s="75" t="inlineStr">
        <is>
          <t>是</t>
        </is>
      </c>
      <c r="D6" s="71" t="inlineStr">
        <is>
          <t>累计未发4次</t>
        </is>
      </c>
      <c r="E6" s="72" t="n"/>
      <c r="F6" s="79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4" t="inlineStr">
        <is>
          <t>华南四区</t>
        </is>
      </c>
      <c r="K6" s="65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5" t="inlineStr">
        <is>
          <t>华南一区</t>
        </is>
      </c>
      <c r="B7" s="75" t="inlineStr">
        <is>
          <t>深圳福田中心</t>
        </is>
      </c>
      <c r="C7" s="75" t="inlineStr">
        <is>
          <t>是</t>
        </is>
      </c>
      <c r="D7" s="73" t="inlineStr">
        <is>
          <t>累计未发1次，迟发3次</t>
        </is>
      </c>
      <c r="E7" s="72" t="n"/>
      <c r="F7" s="79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4" t="inlineStr">
        <is>
          <t>华东一区</t>
        </is>
      </c>
      <c r="K7" s="65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4" t="inlineStr">
        <is>
          <t>华南二区</t>
        </is>
      </c>
      <c r="B8" s="64" t="inlineStr">
        <is>
          <t>深圳坂田杨美中心</t>
        </is>
      </c>
      <c r="C8" s="64" t="inlineStr">
        <is>
          <t>是</t>
        </is>
      </c>
      <c r="D8" s="71" t="n"/>
      <c r="E8" s="72" t="n"/>
      <c r="F8" s="79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4" t="inlineStr">
        <is>
          <t>华东二区</t>
        </is>
      </c>
      <c r="K8" s="65">
        <f>COUNTIFS($A:$A,$G8,$C:$C,"&lt;&gt;新中心")</f>
        <v/>
      </c>
    </row>
    <row customHeight="1" ht="16.5" r="9" s="53">
      <c r="A9" s="64" t="inlineStr">
        <is>
          <t>华南二区</t>
        </is>
      </c>
      <c r="B9" s="64" t="inlineStr">
        <is>
          <t>深圳龙华民治中心</t>
        </is>
      </c>
      <c r="C9" s="64" t="inlineStr">
        <is>
          <t>是</t>
        </is>
      </c>
      <c r="D9" s="71" t="inlineStr">
        <is>
          <t>累计迟发1次</t>
        </is>
      </c>
      <c r="E9" s="72" t="n"/>
      <c r="F9" s="79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4" t="inlineStr">
        <is>
          <t>华东三区</t>
        </is>
      </c>
      <c r="K9" s="65">
        <f>COUNTIFS($A:$A,$G9,$C:$C,"&lt;&gt;新中心")</f>
        <v/>
      </c>
    </row>
    <row customHeight="1" ht="16.5" r="10" s="53">
      <c r="A10" s="64" t="inlineStr">
        <is>
          <t>华南二区</t>
        </is>
      </c>
      <c r="B10" s="64" t="inlineStr">
        <is>
          <t>泉州晋江中心</t>
        </is>
      </c>
      <c r="C10" s="64" t="inlineStr">
        <is>
          <t>是</t>
        </is>
      </c>
      <c r="D10" s="73" t="n"/>
      <c r="E10" s="72" t="n"/>
      <c r="F10" s="79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4" t="inlineStr">
        <is>
          <t>华东四区</t>
        </is>
      </c>
      <c r="K10" s="65">
        <f>COUNTIFS($A:$A,$G10,$C:$C,"&lt;&gt;新中心")</f>
        <v/>
      </c>
    </row>
    <row customHeight="1" ht="16.5" r="11" s="53">
      <c r="A11" s="64" t="inlineStr">
        <is>
          <t>华南三区</t>
        </is>
      </c>
      <c r="B11" s="64" t="inlineStr">
        <is>
          <t>广州盈丰中心</t>
        </is>
      </c>
      <c r="C11" s="64" t="inlineStr">
        <is>
          <t>是</t>
        </is>
      </c>
      <c r="D11" s="74" t="n"/>
      <c r="E11" s="72" t="n"/>
      <c r="F11" s="79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4" t="inlineStr">
        <is>
          <t>华北一区</t>
        </is>
      </c>
      <c r="K11" s="65">
        <f>COUNTIFS($A:$A,$G11,$C:$C,"&lt;&gt;新中心")</f>
        <v/>
      </c>
    </row>
    <row customHeight="1" ht="16.5" r="12" s="53">
      <c r="A12" s="64" t="inlineStr">
        <is>
          <t>华南三区</t>
        </is>
      </c>
      <c r="B12" s="64" t="inlineStr">
        <is>
          <t>广州岗顶中心</t>
        </is>
      </c>
      <c r="C12" s="64" t="inlineStr">
        <is>
          <t>是</t>
        </is>
      </c>
      <c r="D12" s="76" t="n"/>
      <c r="E12" s="72" t="n"/>
      <c r="F12" s="79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4" t="inlineStr">
        <is>
          <t>华北二区</t>
        </is>
      </c>
      <c r="K12" s="65">
        <f>COUNTIFS($A:$A,$G12,$C:$C,"&lt;&gt;新中心")</f>
        <v/>
      </c>
    </row>
    <row customHeight="1" ht="16.5" r="13" s="53">
      <c r="A13" s="64" t="inlineStr">
        <is>
          <t>华南三区</t>
        </is>
      </c>
      <c r="B13" s="64" t="inlineStr">
        <is>
          <t>广州白云中心</t>
        </is>
      </c>
      <c r="C13" s="64" t="inlineStr">
        <is>
          <t>是</t>
        </is>
      </c>
      <c r="D13" s="73" t="inlineStr">
        <is>
          <t>累计未发4次</t>
        </is>
      </c>
      <c r="E13" s="73" t="n"/>
      <c r="F13" s="79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79" t="inlineStr">
        <is>
          <t>粤西五区</t>
        </is>
      </c>
      <c r="K13" s="65">
        <f>COUNTIFS($A:$A,$G15,$C:$C,"&lt;&gt;新中心")</f>
        <v/>
      </c>
    </row>
    <row customHeight="1" ht="16.5" r="14" s="53">
      <c r="A14" s="64" t="inlineStr">
        <is>
          <t>华南三区</t>
        </is>
      </c>
      <c r="B14" s="64" t="inlineStr">
        <is>
          <t>佛山禅城中心</t>
        </is>
      </c>
      <c r="C14" s="64" t="inlineStr">
        <is>
          <t>是</t>
        </is>
      </c>
      <c r="D14" s="73" t="inlineStr">
        <is>
          <t>累计未发1次</t>
        </is>
      </c>
      <c r="E14" s="72" t="n"/>
      <c r="F14" s="79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4" t="inlineStr">
        <is>
          <t>华南三区</t>
        </is>
      </c>
      <c r="B15" s="64" t="inlineStr">
        <is>
          <t>广州米声中心</t>
        </is>
      </c>
      <c r="C15" s="64" t="inlineStr">
        <is>
          <t>是</t>
        </is>
      </c>
      <c r="D15" s="73" t="inlineStr">
        <is>
          <t>累计未发2次，迟发1次</t>
        </is>
      </c>
      <c r="E15" s="72" t="n"/>
      <c r="F15" s="79" t="inlineStr">
        <is>
          <t>粤西区</t>
        </is>
      </c>
      <c r="G15" s="69" t="inlineStr">
        <is>
          <t>粤西五区</t>
        </is>
      </c>
      <c r="H15" s="23">
        <f>COUNTIF($A:$A,$G15)</f>
        <v/>
      </c>
    </row>
    <row customHeight="1" ht="16.5" r="16" s="53">
      <c r="A16" s="64" t="inlineStr">
        <is>
          <t>华南四区</t>
        </is>
      </c>
      <c r="B16" s="64" t="inlineStr">
        <is>
          <t>广州番禺中心</t>
        </is>
      </c>
      <c r="C16" s="64" t="inlineStr">
        <is>
          <t>是</t>
        </is>
      </c>
      <c r="D16" s="71" t="inlineStr">
        <is>
          <t>累计迟发1次</t>
        </is>
      </c>
      <c r="E16" s="72" t="n"/>
      <c r="F16" s="79" t="inlineStr">
        <is>
          <t>粤西区</t>
        </is>
      </c>
      <c r="G16" s="70" t="n"/>
    </row>
    <row customHeight="1" ht="16.5" r="17" s="53">
      <c r="A17" s="64" t="inlineStr">
        <is>
          <t>华南四区</t>
        </is>
      </c>
      <c r="B17" s="64" t="inlineStr">
        <is>
          <t>广州黄埔中心</t>
        </is>
      </c>
      <c r="C17" s="64" t="inlineStr">
        <is>
          <t>是</t>
        </is>
      </c>
      <c r="D17" s="71" t="n"/>
      <c r="E17" s="72" t="n"/>
      <c r="F17" s="79" t="inlineStr">
        <is>
          <t>粤西区</t>
        </is>
      </c>
      <c r="G17" s="70" t="n"/>
    </row>
    <row customHeight="1" ht="16.5" r="18" s="53">
      <c r="A18" s="64" t="inlineStr">
        <is>
          <t>华南四区</t>
        </is>
      </c>
      <c r="B18" s="64" t="inlineStr">
        <is>
          <t>东莞南城中心</t>
        </is>
      </c>
      <c r="C18" s="64" t="inlineStr">
        <is>
          <t>是</t>
        </is>
      </c>
      <c r="D18" s="71" t="inlineStr">
        <is>
          <t>累计未发1次</t>
        </is>
      </c>
      <c r="E18" s="72" t="n"/>
      <c r="F18" s="79" t="inlineStr">
        <is>
          <t>粤西区</t>
        </is>
      </c>
      <c r="G18" s="70" t="n"/>
    </row>
    <row customHeight="1" ht="16.5" r="19" s="53">
      <c r="A19" s="64" t="inlineStr">
        <is>
          <t>华东一区</t>
        </is>
      </c>
      <c r="B19" s="64" t="inlineStr">
        <is>
          <t>上海李子园中心</t>
        </is>
      </c>
      <c r="C19" s="64" t="inlineStr">
        <is>
          <t>是</t>
        </is>
      </c>
      <c r="D19" s="71" t="n"/>
      <c r="E19" s="72" t="n"/>
      <c r="F19" s="79" t="inlineStr">
        <is>
          <t>华东分公司</t>
        </is>
      </c>
      <c r="G19" s="70" t="n"/>
    </row>
    <row customHeight="1" ht="16.5" r="20" s="53">
      <c r="A20" s="64" t="inlineStr">
        <is>
          <t>华东一区</t>
        </is>
      </c>
      <c r="B20" s="64" t="inlineStr">
        <is>
          <t>上海宝山中心</t>
        </is>
      </c>
      <c r="C20" s="64" t="inlineStr">
        <is>
          <t>是</t>
        </is>
      </c>
      <c r="D20" s="76" t="n"/>
      <c r="E20" s="72" t="n"/>
      <c r="F20" s="79" t="inlineStr">
        <is>
          <t>华东分公司</t>
        </is>
      </c>
      <c r="G20" s="70" t="n"/>
    </row>
    <row customHeight="1" ht="16.5" r="21" s="53">
      <c r="A21" s="64" t="inlineStr">
        <is>
          <t>华东一区</t>
        </is>
      </c>
      <c r="B21" s="64" t="inlineStr">
        <is>
          <t>上海松江中心</t>
        </is>
      </c>
      <c r="C21" s="64" t="inlineStr">
        <is>
          <t>是</t>
        </is>
      </c>
      <c r="D21" s="73" t="inlineStr">
        <is>
          <t>累计未发1次，迟发2次</t>
        </is>
      </c>
      <c r="E21" s="72" t="n"/>
      <c r="F21" s="79" t="inlineStr">
        <is>
          <t>华东分公司</t>
        </is>
      </c>
      <c r="G21" s="70" t="n"/>
    </row>
    <row customHeight="1" ht="16.5" r="22" s="53">
      <c r="A22" s="64" t="inlineStr">
        <is>
          <t>华东一区</t>
        </is>
      </c>
      <c r="B22" s="64" t="inlineStr">
        <is>
          <t>上海香樟园中心</t>
        </is>
      </c>
      <c r="C22" s="64" t="inlineStr">
        <is>
          <t>是</t>
        </is>
      </c>
      <c r="D22" s="77" t="inlineStr">
        <is>
          <t>累计未发1次</t>
        </is>
      </c>
      <c r="E22" s="72" t="n"/>
      <c r="F22" s="79" t="inlineStr">
        <is>
          <t>华东分公司</t>
        </is>
      </c>
      <c r="G22" s="70" t="n"/>
    </row>
    <row customHeight="1" ht="16.5" r="23" s="53">
      <c r="A23" s="64" t="inlineStr">
        <is>
          <t>华东一区</t>
        </is>
      </c>
      <c r="B23" s="64" t="inlineStr">
        <is>
          <t>苏州中心</t>
        </is>
      </c>
      <c r="C23" s="78" t="inlineStr">
        <is>
          <t>是</t>
        </is>
      </c>
      <c r="D23" s="71" t="inlineStr">
        <is>
          <t>累计未发1次</t>
        </is>
      </c>
      <c r="E23" s="72" t="n"/>
      <c r="F23" s="79" t="inlineStr">
        <is>
          <t>华东分公司</t>
        </is>
      </c>
      <c r="G23" s="70" t="n"/>
    </row>
    <row customHeight="1" ht="16.5" r="24" s="53">
      <c r="A24" s="64" t="inlineStr">
        <is>
          <t>华东二区</t>
        </is>
      </c>
      <c r="B24" s="64" t="inlineStr">
        <is>
          <t>上海浦东中心</t>
        </is>
      </c>
      <c r="C24" s="78" t="inlineStr">
        <is>
          <t>是</t>
        </is>
      </c>
      <c r="D24" s="74" t="inlineStr">
        <is>
          <t>累计迟发1次</t>
        </is>
      </c>
      <c r="E24" s="72" t="n"/>
      <c r="F24" s="79" t="inlineStr">
        <is>
          <t>华东分公司</t>
        </is>
      </c>
      <c r="G24" s="70" t="n"/>
    </row>
    <row customHeight="1" ht="16.5" r="25" s="53">
      <c r="A25" s="64" t="inlineStr">
        <is>
          <t>华东二区</t>
        </is>
      </c>
      <c r="B25" s="64" t="inlineStr">
        <is>
          <t>无锡中心</t>
        </is>
      </c>
      <c r="C25" s="78" t="inlineStr">
        <is>
          <t>是</t>
        </is>
      </c>
      <c r="D25" s="74" t="n"/>
      <c r="E25" s="72" t="n"/>
      <c r="F25" s="79" t="inlineStr">
        <is>
          <t>华东分公司</t>
        </is>
      </c>
      <c r="G25" s="70" t="n"/>
    </row>
    <row customHeight="1" ht="16.5" r="26" s="53">
      <c r="A26" s="64" t="inlineStr">
        <is>
          <t>华东二区</t>
        </is>
      </c>
      <c r="B26" s="64" t="inlineStr">
        <is>
          <t>常州中心</t>
        </is>
      </c>
      <c r="C26" s="78" t="inlineStr">
        <is>
          <t>是</t>
        </is>
      </c>
      <c r="D26" s="73" t="inlineStr">
        <is>
          <t>累计未发1次</t>
        </is>
      </c>
      <c r="E26" s="72" t="n"/>
      <c r="F26" s="79" t="inlineStr">
        <is>
          <t>华东分公司</t>
        </is>
      </c>
      <c r="G26" s="70" t="n"/>
    </row>
    <row customHeight="1" ht="16.5" r="27" s="53">
      <c r="A27" s="64" t="inlineStr">
        <is>
          <t>华东三区</t>
        </is>
      </c>
      <c r="B27" s="64" t="inlineStr">
        <is>
          <t>南京新街口中心</t>
        </is>
      </c>
      <c r="C27" s="78" t="inlineStr">
        <is>
          <t>是</t>
        </is>
      </c>
      <c r="D27" s="71" t="inlineStr">
        <is>
          <t>累计未发5次，迟发1次</t>
        </is>
      </c>
      <c r="E27" s="72" t="n"/>
      <c r="F27" s="79" t="inlineStr">
        <is>
          <t>华东分公司</t>
        </is>
      </c>
      <c r="G27" s="70" t="n"/>
    </row>
    <row customHeight="1" ht="16.5" r="28" s="53">
      <c r="A28" s="64" t="inlineStr">
        <is>
          <t>华东三区</t>
        </is>
      </c>
      <c r="B28" s="79" t="inlineStr">
        <is>
          <t>南京软件谷中心</t>
        </is>
      </c>
      <c r="C28" s="78" t="inlineStr">
        <is>
          <t>是</t>
        </is>
      </c>
      <c r="D28" s="74" t="inlineStr">
        <is>
          <t>累计未发1次，迟发3次</t>
        </is>
      </c>
      <c r="E28" s="72" t="n"/>
      <c r="F28" s="79" t="inlineStr">
        <is>
          <t>华东分公司</t>
        </is>
      </c>
      <c r="G28" s="70" t="n"/>
    </row>
    <row customHeight="1" ht="16.5" r="29" s="53">
      <c r="A29" s="64" t="inlineStr">
        <is>
          <t>华东三区</t>
        </is>
      </c>
      <c r="B29" s="64" t="inlineStr">
        <is>
          <t>南京浦口中心</t>
        </is>
      </c>
      <c r="C29" s="78" t="inlineStr">
        <is>
          <t>是</t>
        </is>
      </c>
      <c r="D29" s="74" t="inlineStr">
        <is>
          <t>累计未发1次</t>
        </is>
      </c>
      <c r="E29" s="72" t="n"/>
      <c r="F29" s="79" t="inlineStr">
        <is>
          <t>华东分公司</t>
        </is>
      </c>
      <c r="G29" s="70" t="n"/>
    </row>
    <row customHeight="1" ht="16.5" r="30" s="53">
      <c r="A30" s="64" t="inlineStr">
        <is>
          <t>华东四区</t>
        </is>
      </c>
      <c r="B30" s="64" t="inlineStr">
        <is>
          <t>杭州花园岗中心</t>
        </is>
      </c>
      <c r="C30" s="78" t="inlineStr">
        <is>
          <t>是</t>
        </is>
      </c>
      <c r="D30" s="74" t="inlineStr">
        <is>
          <t>累计迟发2次</t>
        </is>
      </c>
      <c r="E30" s="72" t="n"/>
      <c r="F30" s="79" t="inlineStr">
        <is>
          <t>华东四区</t>
        </is>
      </c>
      <c r="G30" s="70" t="n"/>
    </row>
    <row customHeight="1" ht="16.5" r="31" s="53">
      <c r="A31" s="64" t="inlineStr">
        <is>
          <t>华东四区</t>
        </is>
      </c>
      <c r="B31" s="64" t="inlineStr">
        <is>
          <t>杭州上城中心</t>
        </is>
      </c>
      <c r="C31" s="78" t="inlineStr">
        <is>
          <t>是</t>
        </is>
      </c>
      <c r="D31" s="74" t="inlineStr">
        <is>
          <t>累计未发3次，迟发3次</t>
        </is>
      </c>
      <c r="E31" s="72" t="n"/>
      <c r="F31" s="79" t="inlineStr">
        <is>
          <t>华东四区</t>
        </is>
      </c>
      <c r="G31" s="70" t="n"/>
    </row>
    <row customHeight="1" ht="16.5" r="32" s="53">
      <c r="A32" s="64" t="inlineStr">
        <is>
          <t>华东四区</t>
        </is>
      </c>
      <c r="B32" s="64" t="inlineStr">
        <is>
          <t>杭州滨江中心</t>
        </is>
      </c>
      <c r="C32" s="78" t="inlineStr">
        <is>
          <t>是</t>
        </is>
      </c>
      <c r="D32" s="74" t="inlineStr">
        <is>
          <t>累计未发3次，迟发2次</t>
        </is>
      </c>
      <c r="E32" s="72" t="inlineStr">
        <is>
          <t>请病假4天</t>
        </is>
      </c>
      <c r="F32" s="79" t="inlineStr">
        <is>
          <t>华东四区</t>
        </is>
      </c>
      <c r="G32" s="70" t="n"/>
    </row>
    <row customHeight="1" ht="16.5" r="33" s="53">
      <c r="A33" s="64" t="inlineStr">
        <is>
          <t>华东四区</t>
        </is>
      </c>
      <c r="B33" s="64" t="inlineStr">
        <is>
          <t>宁波鄞州中心</t>
        </is>
      </c>
      <c r="C33" s="78" t="inlineStr">
        <is>
          <t>是</t>
        </is>
      </c>
      <c r="D33" s="76" t="inlineStr">
        <is>
          <t>累计未发2次，迟发1次</t>
        </is>
      </c>
      <c r="E33" s="72" t="n"/>
      <c r="F33" s="79" t="inlineStr">
        <is>
          <t>华东四区</t>
        </is>
      </c>
      <c r="G33" s="70" t="n"/>
    </row>
    <row customHeight="1" ht="16.5" r="34" s="53">
      <c r="A34" s="64" t="inlineStr">
        <is>
          <t>华东四区</t>
        </is>
      </c>
      <c r="B34" s="64" t="inlineStr">
        <is>
          <t>合肥蜀山中心</t>
        </is>
      </c>
      <c r="C34" s="78" t="inlineStr">
        <is>
          <t>是</t>
        </is>
      </c>
      <c r="D34" s="74" t="inlineStr">
        <is>
          <t>累计未发2次，迟发5次</t>
        </is>
      </c>
      <c r="E34" s="72" t="n"/>
      <c r="F34" s="79" t="inlineStr">
        <is>
          <t>华东四区</t>
        </is>
      </c>
      <c r="G34" s="70" t="n"/>
    </row>
    <row customHeight="1" ht="16.5" r="35" s="53">
      <c r="A35" s="64" t="inlineStr">
        <is>
          <t>华北一区</t>
        </is>
      </c>
      <c r="B35" s="64" t="inlineStr">
        <is>
          <t>北京双桥中心</t>
        </is>
      </c>
      <c r="C35" s="78" t="inlineStr">
        <is>
          <t>是</t>
        </is>
      </c>
      <c r="D35" s="73" t="inlineStr">
        <is>
          <t>累计未发2次，迟发1次</t>
        </is>
      </c>
      <c r="E35" s="72" t="n"/>
      <c r="F35" s="79" t="inlineStr">
        <is>
          <t>华北分公司</t>
        </is>
      </c>
      <c r="G35" s="70" t="n"/>
    </row>
    <row customHeight="1" ht="16.5" r="36" s="53">
      <c r="A36" s="64" t="inlineStr">
        <is>
          <t>华北一区</t>
        </is>
      </c>
      <c r="B36" s="64" t="inlineStr">
        <is>
          <t>北京方庄中心</t>
        </is>
      </c>
      <c r="C36" s="78" t="inlineStr">
        <is>
          <t>是</t>
        </is>
      </c>
      <c r="D36" s="73" t="inlineStr">
        <is>
          <t>累计未发1次，迟发2次</t>
        </is>
      </c>
      <c r="E36" s="72" t="n"/>
      <c r="F36" s="79" t="inlineStr">
        <is>
          <t>华北分公司</t>
        </is>
      </c>
      <c r="G36" s="70" t="n"/>
    </row>
    <row customHeight="1" ht="16.5" r="37" s="53">
      <c r="A37" s="64" t="inlineStr">
        <is>
          <t>华北一区</t>
        </is>
      </c>
      <c r="B37" s="64" t="inlineStr">
        <is>
          <t>郑州金水中心</t>
        </is>
      </c>
      <c r="C37" s="78" t="inlineStr">
        <is>
          <t>是</t>
        </is>
      </c>
      <c r="D37" s="71" t="inlineStr">
        <is>
          <t>累计未发1次</t>
        </is>
      </c>
      <c r="E37" s="72" t="n"/>
      <c r="F37" s="79" t="inlineStr">
        <is>
          <t>华北分公司</t>
        </is>
      </c>
      <c r="G37" s="70" t="n"/>
    </row>
    <row customHeight="1" ht="16.5" r="38" s="53">
      <c r="A38" s="64" t="inlineStr">
        <is>
          <t>华北一区</t>
        </is>
      </c>
      <c r="B38" s="64" t="inlineStr">
        <is>
          <t>郑州二七中心</t>
        </is>
      </c>
      <c r="C38" s="78" t="inlineStr">
        <is>
          <t>是</t>
        </is>
      </c>
      <c r="D38" s="74" t="inlineStr">
        <is>
          <t>累计未发3次</t>
        </is>
      </c>
      <c r="E38" s="72" t="n"/>
      <c r="F38" s="79" t="inlineStr">
        <is>
          <t>华北分公司</t>
        </is>
      </c>
      <c r="G38" s="70" t="n"/>
    </row>
    <row customHeight="1" ht="16.5" r="39" s="53">
      <c r="A39" s="64" t="inlineStr">
        <is>
          <t>华北一区</t>
        </is>
      </c>
      <c r="B39" s="64" t="inlineStr">
        <is>
          <t>天津中心</t>
        </is>
      </c>
      <c r="C39" s="78" t="inlineStr">
        <is>
          <t>是</t>
        </is>
      </c>
      <c r="D39" s="71" t="n"/>
      <c r="E39" s="72" t="n"/>
      <c r="F39" s="79" t="inlineStr">
        <is>
          <t>华北分公司</t>
        </is>
      </c>
      <c r="G39" s="70" t="n"/>
    </row>
    <row customHeight="1" ht="16.5" r="40" s="53">
      <c r="A40" s="64" t="inlineStr">
        <is>
          <t>华北一区</t>
        </is>
      </c>
      <c r="B40" s="64" t="inlineStr">
        <is>
          <t>西安莲湖中心</t>
        </is>
      </c>
      <c r="C40" s="78" t="inlineStr">
        <is>
          <t>是</t>
        </is>
      </c>
      <c r="D40" s="71" t="inlineStr">
        <is>
          <t>累计未发1次</t>
        </is>
      </c>
      <c r="E40" s="72" t="n"/>
      <c r="F40" s="79" t="inlineStr">
        <is>
          <t>华北分公司</t>
        </is>
      </c>
      <c r="G40" s="70" t="n"/>
    </row>
    <row customHeight="1" ht="16.5" r="41" s="53">
      <c r="A41" s="64" t="inlineStr">
        <is>
          <t>华北一区</t>
        </is>
      </c>
      <c r="B41" s="64" t="inlineStr">
        <is>
          <t>西安曲江中心</t>
        </is>
      </c>
      <c r="C41" s="78" t="inlineStr">
        <is>
          <t>是</t>
        </is>
      </c>
      <c r="D41" s="74" t="n"/>
      <c r="E41" s="72" t="n"/>
      <c r="F41" s="79" t="inlineStr">
        <is>
          <t>华北分公司</t>
        </is>
      </c>
      <c r="G41" s="70" t="n"/>
    </row>
    <row customHeight="1" ht="16.5" r="42" s="53">
      <c r="A42" s="64" t="inlineStr">
        <is>
          <t>华北一区</t>
        </is>
      </c>
      <c r="B42" s="64" t="inlineStr">
        <is>
          <t>西安未央中心</t>
        </is>
      </c>
      <c r="C42" s="78" t="inlineStr">
        <is>
          <t>是</t>
        </is>
      </c>
      <c r="D42" s="74" t="inlineStr">
        <is>
          <t>累计未发1次</t>
        </is>
      </c>
      <c r="E42" s="72" t="n"/>
      <c r="F42" s="79" t="inlineStr">
        <is>
          <t>华北分公司</t>
        </is>
      </c>
      <c r="G42" s="70" t="n"/>
    </row>
    <row customHeight="1" ht="16.5" r="43" s="53">
      <c r="A43" s="64" t="inlineStr">
        <is>
          <t>华北一区</t>
        </is>
      </c>
      <c r="B43" s="64" t="inlineStr">
        <is>
          <t>济南省体中心</t>
        </is>
      </c>
      <c r="C43" s="78" t="inlineStr">
        <is>
          <t>是</t>
        </is>
      </c>
      <c r="D43" s="74" t="n"/>
      <c r="E43" s="72" t="n"/>
      <c r="F43" s="79" t="inlineStr">
        <is>
          <t>华北分公司</t>
        </is>
      </c>
      <c r="G43" s="70" t="n"/>
    </row>
    <row customHeight="1" ht="16.5" r="44" s="53">
      <c r="A44" s="64" t="inlineStr">
        <is>
          <t>华北一区</t>
        </is>
      </c>
      <c r="B44" s="64" t="inlineStr">
        <is>
          <t>北京通州中心</t>
        </is>
      </c>
      <c r="C44" s="78" t="inlineStr">
        <is>
          <t>是</t>
        </is>
      </c>
      <c r="D44" s="71" t="n"/>
      <c r="E44" s="74" t="n"/>
      <c r="F44" s="79" t="inlineStr">
        <is>
          <t>华北分公司</t>
        </is>
      </c>
      <c r="G44" s="70" t="n"/>
    </row>
    <row customHeight="1" ht="16.5" r="45" s="53">
      <c r="A45" s="64" t="inlineStr">
        <is>
          <t>华北一区</t>
        </is>
      </c>
      <c r="B45" s="64" t="inlineStr">
        <is>
          <t>北京房山中心</t>
        </is>
      </c>
      <c r="C45" s="78" t="inlineStr">
        <is>
          <t>是</t>
        </is>
      </c>
      <c r="D45" s="74" t="inlineStr">
        <is>
          <t>累计迟发2次</t>
        </is>
      </c>
      <c r="E45" s="72" t="n"/>
      <c r="F45" s="79" t="inlineStr">
        <is>
          <t>华北分公司</t>
        </is>
      </c>
      <c r="G45" s="70" t="n"/>
    </row>
    <row customHeight="1" ht="16.5" r="46" s="53">
      <c r="A46" s="64" t="inlineStr">
        <is>
          <t>华北二区</t>
        </is>
      </c>
      <c r="B46" s="64" t="inlineStr">
        <is>
          <t>北京望京中心</t>
        </is>
      </c>
      <c r="C46" s="78" t="inlineStr">
        <is>
          <t>是</t>
        </is>
      </c>
      <c r="D46" s="74" t="inlineStr">
        <is>
          <t>累计迟发1次</t>
        </is>
      </c>
      <c r="E46" s="72" t="n"/>
      <c r="F46" s="79" t="inlineStr">
        <is>
          <t>华北分公司</t>
        </is>
      </c>
      <c r="G46" s="70" t="n"/>
    </row>
    <row customHeight="1" ht="16.5" r="47" s="53">
      <c r="A47" s="64" t="inlineStr">
        <is>
          <t>华北二区</t>
        </is>
      </c>
      <c r="B47" s="64" t="inlineStr">
        <is>
          <t>北京海淀中心</t>
        </is>
      </c>
      <c r="C47" s="78" t="inlineStr">
        <is>
          <t>是</t>
        </is>
      </c>
      <c r="D47" s="74" t="inlineStr">
        <is>
          <t>累计迟发2次</t>
        </is>
      </c>
      <c r="E47" s="72" t="n"/>
      <c r="F47" s="79" t="inlineStr">
        <is>
          <t>华北分公司</t>
        </is>
      </c>
      <c r="G47" s="70" t="n"/>
    </row>
    <row customHeight="1" ht="16.5" r="48" s="53">
      <c r="A48" s="64" t="inlineStr">
        <is>
          <t>华北二区</t>
        </is>
      </c>
      <c r="B48" s="64" t="inlineStr">
        <is>
          <t>北京万柳中心</t>
        </is>
      </c>
      <c r="C48" s="78" t="inlineStr">
        <is>
          <t>是</t>
        </is>
      </c>
      <c r="D48" s="74" t="inlineStr">
        <is>
          <t>累计未发1次</t>
        </is>
      </c>
      <c r="E48" s="72" t="n"/>
      <c r="F48" s="79" t="inlineStr">
        <is>
          <t>华北分公司</t>
        </is>
      </c>
      <c r="G48" s="70" t="n"/>
    </row>
    <row customHeight="1" ht="16.5" r="49" s="53">
      <c r="A49" s="64" t="inlineStr">
        <is>
          <t>华北二区</t>
        </is>
      </c>
      <c r="B49" s="64" t="inlineStr">
        <is>
          <t>石家庄桥西中心</t>
        </is>
      </c>
      <c r="C49" s="78" t="inlineStr">
        <is>
          <t>是</t>
        </is>
      </c>
      <c r="D49" s="74" t="inlineStr">
        <is>
          <t>累计迟发1次</t>
        </is>
      </c>
      <c r="E49" s="72" t="n"/>
      <c r="F49" s="79" t="inlineStr">
        <is>
          <t>华北分公司</t>
        </is>
      </c>
      <c r="G49" s="70" t="n"/>
    </row>
    <row customHeight="1" ht="16" r="50" s="53">
      <c r="A50" s="75" t="inlineStr">
        <is>
          <t>华南二区</t>
        </is>
      </c>
      <c r="B50" s="75" t="inlineStr">
        <is>
          <t>厦门思明中心</t>
        </is>
      </c>
      <c r="C50" s="80" t="inlineStr">
        <is>
          <t>是</t>
        </is>
      </c>
      <c r="D50" s="73" t="inlineStr">
        <is>
          <t>累计迟发1次</t>
        </is>
      </c>
      <c r="E50" s="72" t="n"/>
      <c r="F50" s="79" t="inlineStr">
        <is>
          <t>粤东区</t>
        </is>
      </c>
      <c r="G50" s="70" t="n"/>
    </row>
    <row customHeight="1" ht="16.5" r="51" s="53">
      <c r="A51" s="61" t="inlineStr">
        <is>
          <t>华南一区</t>
        </is>
      </c>
      <c r="B51" s="61" t="inlineStr">
        <is>
          <t>深圳罗湖中心</t>
        </is>
      </c>
      <c r="C51" s="62" t="inlineStr">
        <is>
          <t>是</t>
        </is>
      </c>
      <c r="D51" s="73" t="inlineStr">
        <is>
          <t>累计未发1次</t>
        </is>
      </c>
      <c r="E51" s="72" t="n"/>
      <c r="F51" s="79" t="inlineStr">
        <is>
          <t>粤东区</t>
        </is>
      </c>
      <c r="G51" s="70" t="n"/>
    </row>
    <row customHeight="1" ht="16.5" r="52" s="53">
      <c r="A52" s="61" t="inlineStr">
        <is>
          <t>华东四区</t>
        </is>
      </c>
      <c r="B52" s="61" t="inlineStr">
        <is>
          <t>宁波江北中心</t>
        </is>
      </c>
      <c r="C52" s="62" t="inlineStr">
        <is>
          <t>是</t>
        </is>
      </c>
      <c r="D52" s="73" t="inlineStr">
        <is>
          <t>累计未发1次</t>
        </is>
      </c>
      <c r="E52" s="72" t="n"/>
      <c r="F52" s="79" t="inlineStr">
        <is>
          <t>华东四区</t>
        </is>
      </c>
      <c r="G52" s="70" t="n"/>
    </row>
    <row customHeight="1" ht="16.5" r="53" s="53">
      <c r="A53" s="61" t="inlineStr">
        <is>
          <t>华北二区</t>
        </is>
      </c>
      <c r="B53" s="61" t="inlineStr">
        <is>
          <t>北京昌平中心</t>
        </is>
      </c>
      <c r="C53" s="62" t="inlineStr">
        <is>
          <t>是</t>
        </is>
      </c>
      <c r="D53" s="73" t="inlineStr">
        <is>
          <t>累计未发1次</t>
        </is>
      </c>
      <c r="E53" s="72" t="n"/>
      <c r="F53" s="79" t="inlineStr">
        <is>
          <t>华北分公司</t>
        </is>
      </c>
      <c r="G53" s="70" t="n"/>
    </row>
    <row customHeight="1" ht="16.5" r="54" s="53">
      <c r="A54" s="61" t="inlineStr">
        <is>
          <t>华北二区</t>
        </is>
      </c>
      <c r="B54" s="61" t="inlineStr">
        <is>
          <t>石家庄裕华中心</t>
        </is>
      </c>
      <c r="C54" s="62" t="inlineStr">
        <is>
          <t>是</t>
        </is>
      </c>
      <c r="D54" s="71" t="n"/>
      <c r="E54" s="72" t="n"/>
      <c r="F54" s="79" t="inlineStr">
        <is>
          <t>华北分公司</t>
        </is>
      </c>
      <c r="G54" s="70" t="n"/>
    </row>
    <row customHeight="1" ht="16.5" r="55" s="53">
      <c r="A55" s="63" t="inlineStr">
        <is>
          <t>粤西五区</t>
        </is>
      </c>
      <c r="B55" s="63" t="inlineStr">
        <is>
          <t>中山中心</t>
        </is>
      </c>
      <c r="C55" s="62" t="inlineStr">
        <is>
          <t>是</t>
        </is>
      </c>
      <c r="D55" s="71" t="n"/>
      <c r="E55" s="72" t="n"/>
      <c r="F55" s="79" t="inlineStr">
        <is>
          <t>粤西区</t>
        </is>
      </c>
      <c r="G55" s="70" t="n"/>
    </row>
    <row customHeight="1" ht="16.5" r="56" s="53">
      <c r="A56" s="63" t="inlineStr">
        <is>
          <t>粤西五区</t>
        </is>
      </c>
      <c r="B56" s="63" t="inlineStr">
        <is>
          <t>茂名中心</t>
        </is>
      </c>
      <c r="C56" s="62" t="inlineStr">
        <is>
          <t>是</t>
        </is>
      </c>
      <c r="D56" s="71" t="n"/>
      <c r="E56" s="72" t="n"/>
      <c r="F56" s="79" t="inlineStr">
        <is>
          <t>粤西区</t>
        </is>
      </c>
      <c r="G56" s="70" t="n"/>
    </row>
    <row customHeight="1" ht="16.5" r="57" s="53">
      <c r="A57" s="63" t="inlineStr">
        <is>
          <t>粤西五区</t>
        </is>
      </c>
      <c r="B57" s="63" t="inlineStr">
        <is>
          <t>湛江中心</t>
        </is>
      </c>
      <c r="C57" s="62" t="inlineStr">
        <is>
          <t>是</t>
        </is>
      </c>
      <c r="D57" s="71" t="n"/>
      <c r="E57" s="72" t="n"/>
      <c r="F57" s="79" t="inlineStr">
        <is>
          <t>粤西区</t>
        </is>
      </c>
      <c r="G57" s="70" t="n"/>
    </row>
    <row customHeight="1" ht="16.5" r="58" s="53">
      <c r="A58" s="63" t="inlineStr">
        <is>
          <t>粤西五区</t>
        </is>
      </c>
      <c r="B58" s="63" t="inlineStr">
        <is>
          <t>江门中心</t>
        </is>
      </c>
      <c r="C58" s="62" t="inlineStr">
        <is>
          <t>是</t>
        </is>
      </c>
      <c r="D58" s="71" t="n"/>
      <c r="E58" s="72" t="n"/>
      <c r="F58" s="79" t="inlineStr">
        <is>
          <t>粤西区</t>
        </is>
      </c>
      <c r="G58" s="70" t="n"/>
    </row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8" t="inlineStr">
        <is>
          <t>2025未填写月报次数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6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8" t="inlineStr">
        <is>
          <t>2025未填写月报次数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6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2026-04-09T09:31:55Z</dcterms:modified>
  <cp:lastModifiedBy>Linxz</cp:lastModifiedBy>
</cp:coreProperties>
</file>