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6400" windowWidth="27040" xWindow="0" yWindow="500"/>
  </bookViews>
  <sheets>
    <sheet name="2025年日报" sheetId="1" state="hidden" r:id="rId1"/>
    <sheet name="2026年日报" sheetId="2" state="visible" r:id="rId2"/>
    <sheet name="2025月报" sheetId="3" state="hidden" r:id="rId3"/>
    <sheet name="月报(2026)" sheetId="4" state="visible" r:id="rId4"/>
    <sheet name="旧表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sz val="12"/>
    </font>
    <font>
      <name val="等线"/>
      <charset val="134"/>
      <family val="4"/>
      <b val="1"/>
      <color rgb="FF000000"/>
      <sz val="11"/>
    </font>
    <font>
      <name val="等线"/>
      <charset val="134"/>
      <family val="4"/>
      <color rgb="FF000000"/>
      <sz val="11"/>
    </font>
    <font>
      <name val="微软雅黑 Light"/>
      <charset val="134"/>
      <family val="2"/>
      <sz val="9"/>
    </font>
    <font>
      <name val="等线"/>
      <charset val="134"/>
      <family val="4"/>
      <sz val="9"/>
    </font>
    <font>
      <name val="等线"/>
      <charset val="134"/>
      <family val="4"/>
      <sz val="9"/>
    </font>
    <font>
      <name val="等线"/>
      <charset val="134"/>
      <family val="4"/>
      <color rgb="FF000000"/>
      <sz val="9"/>
    </font>
    <font>
      <name val="等线"/>
      <charset val="134"/>
      <family val="4"/>
      <sz val="9"/>
    </font>
    <font>
      <name val="等线"/>
      <charset val="134"/>
      <family val="4"/>
      <sz val="10"/>
    </font>
    <font>
      <name val="等线"/>
      <charset val="134"/>
      <family val="4"/>
      <sz val="10"/>
    </font>
    <font>
      <name val="等线"/>
      <charset val="134"/>
      <family val="2"/>
      <color theme="1"/>
      <sz val="10"/>
      <scheme val="minor"/>
    </font>
    <font>
      <name val="等线"/>
      <charset val="134"/>
      <family val="4"/>
      <sz val="10"/>
    </font>
    <font>
      <name val="等线"/>
      <charset val="134"/>
      <family val="4"/>
      <color rgb="FF000000"/>
      <sz val="10"/>
    </font>
    <font>
      <name val="宋体"/>
      <charset val="134"/>
      <family val="3"/>
      <sz val="9"/>
    </font>
    <font>
      <name val="等线"/>
      <charset val="134"/>
      <family val="2"/>
      <sz val="9"/>
      <scheme val="minor"/>
    </font>
  </fonts>
  <fills count="8">
    <fill>
      <patternFill/>
    </fill>
    <fill>
      <patternFill patternType="gray125"/>
    </fill>
    <fill>
      <patternFill/>
    </fill>
    <fill>
      <patternFill patternType="solid">
        <fgColor rgb="FFD9E2F3"/>
      </patternFill>
    </fill>
    <fill>
      <patternFill patternType="solid">
        <fgColor rgb="FF8CDDFA"/>
        <bgColor auto="1"/>
      </patternFill>
    </fill>
    <fill>
      <patternFill patternType="solid">
        <fgColor rgb="FF7F7F7F"/>
      </patternFill>
    </fill>
    <fill>
      <patternFill/>
    </fill>
    <fill>
      <patternFill/>
    </fill>
  </fills>
  <borders count="2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/>
      <top/>
      <bottom/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 style="thin">
        <color rgb="FF272727"/>
      </top>
      <bottom style="thin">
        <color rgb="FF272727"/>
      </bottom>
      <diagonal/>
    </border>
    <border>
      <left/>
      <right style="thin">
        <color rgb="FF272727"/>
      </right>
      <top style="thin">
        <color rgb="FF272727"/>
      </top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applyAlignment="1" borderId="7" fillId="7" fontId="0" numFmtId="0">
      <alignment vertical="center"/>
    </xf>
  </cellStyleXfs>
  <cellXfs count="58">
    <xf applyAlignment="1" borderId="0" fillId="0" fontId="0" numFmtId="0" pivotButton="0" quotePrefix="0" xfId="0">
      <alignment vertical="center"/>
    </xf>
    <xf applyAlignment="1" borderId="0" fillId="3" fontId="2" numFmtId="0" pivotButton="0" quotePrefix="0" xfId="0">
      <alignment horizontal="center" vertical="center"/>
    </xf>
    <xf applyAlignment="1" borderId="0" fillId="2" fontId="3" numFmtId="0" pivotButton="0" quotePrefix="0" xfId="0">
      <alignment horizontal="center" vertical="center"/>
    </xf>
    <xf applyAlignment="1" borderId="2" fillId="4" fontId="4" numFmtId="0" pivotButton="0" quotePrefix="0" xfId="0">
      <alignment horizontal="center" vertical="center"/>
    </xf>
    <xf applyAlignment="1" borderId="2" fillId="4" fontId="5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2" fillId="3" fontId="2" numFmtId="0" pivotButton="0" quotePrefix="0" xfId="0">
      <alignment horizontal="center" vertical="center"/>
    </xf>
    <xf applyAlignment="1" borderId="2" fillId="2" fontId="3" numFmtId="0" pivotButton="0" quotePrefix="0" xfId="0">
      <alignment horizontal="center" vertical="center"/>
    </xf>
    <xf applyAlignment="1" borderId="2" fillId="2" fontId="4" numFmtId="0" pivotButton="0" quotePrefix="0" xfId="0">
      <alignment horizontal="center" vertical="center"/>
    </xf>
    <xf applyAlignment="1" borderId="2" fillId="2" fontId="5" numFmtId="0" pivotButton="0" quotePrefix="0" xfId="0">
      <alignment horizontal="center" vertical="center"/>
    </xf>
    <xf applyAlignment="1" borderId="2" fillId="0" fontId="5" numFmtId="0" pivotButton="0" quotePrefix="0" xfId="0">
      <alignment horizontal="center" vertical="center"/>
    </xf>
    <xf applyAlignment="1" borderId="3" fillId="2" fontId="4" numFmtId="0" pivotButton="0" quotePrefix="0" xfId="0">
      <alignment horizontal="center" vertical="center"/>
    </xf>
    <xf applyAlignment="1" borderId="4" fillId="2" fontId="3" numFmtId="0" pivotButton="0" quotePrefix="0" xfId="0">
      <alignment horizontal="center" vertical="center"/>
    </xf>
    <xf applyAlignment="1" borderId="2" fillId="2" fontId="7" numFmtId="0" pivotButton="0" quotePrefix="0" xfId="0">
      <alignment horizontal="center" vertical="center"/>
    </xf>
    <xf applyAlignment="1" borderId="5" fillId="2" fontId="4" numFmtId="0" pivotButton="0" quotePrefix="0" xfId="0">
      <alignment horizontal="center" vertical="center"/>
    </xf>
    <xf applyAlignment="1" borderId="2" fillId="2" fontId="8" numFmtId="0" pivotButton="0" quotePrefix="0" xfId="0">
      <alignment horizontal="center" vertical="center"/>
    </xf>
    <xf applyAlignment="1" borderId="0" fillId="2" fontId="9" numFmtId="0" pivotButton="0" quotePrefix="0" xfId="0">
      <alignment horizontal="center" vertical="center"/>
    </xf>
    <xf applyAlignment="1" borderId="4" fillId="2" fontId="9" numFmtId="0" pivotButton="0" quotePrefix="0" xfId="0">
      <alignment horizontal="center" vertical="center"/>
    </xf>
    <xf applyAlignment="1" borderId="6" fillId="4" fontId="4" numFmtId="0" pivotButton="0" quotePrefix="0" xfId="0">
      <alignment horizontal="center" vertical="center"/>
    </xf>
    <xf applyAlignment="1" borderId="6" fillId="4" fontId="5" numFmtId="0" pivotButton="0" quotePrefix="0" xfId="0">
      <alignment horizontal="center" vertical="center"/>
    </xf>
    <xf applyAlignment="1" borderId="6" fillId="4" fontId="6" numFmtId="0" pivotButton="0" quotePrefix="0" xfId="0">
      <alignment horizontal="center" vertical="center"/>
    </xf>
    <xf applyAlignment="1" borderId="7" fillId="3" fontId="2" numFmtId="0" pivotButton="0" quotePrefix="0" xfId="0">
      <alignment horizontal="center" vertical="center"/>
    </xf>
    <xf applyAlignment="1" borderId="8" fillId="3" fontId="2" numFmtId="0" pivotButton="0" quotePrefix="0" xfId="0">
      <alignment horizontal="center" vertical="center"/>
    </xf>
    <xf applyAlignment="1" borderId="7" fillId="2" fontId="3" numFmtId="0" pivotButton="0" quotePrefix="0" xfId="0">
      <alignment horizontal="center" vertical="center"/>
    </xf>
    <xf applyAlignment="1" borderId="8" fillId="2" fontId="3" numFmtId="0" pivotButton="0" quotePrefix="0" xfId="0">
      <alignment horizontal="center" vertical="center"/>
    </xf>
    <xf applyAlignment="1" borderId="8" fillId="5" fontId="3" numFmtId="0" pivotButton="0" quotePrefix="0" xfId="0">
      <alignment horizontal="center" vertical="center"/>
    </xf>
    <xf applyAlignment="1" borderId="9" fillId="2" fontId="3" numFmtId="0" pivotButton="0" quotePrefix="0" xfId="0">
      <alignment horizontal="center" vertical="center"/>
    </xf>
    <xf applyAlignment="1" borderId="10" fillId="2" fontId="4" numFmtId="0" pivotButton="0" quotePrefix="0" xfId="0">
      <alignment horizontal="center" vertical="center"/>
    </xf>
    <xf applyAlignment="1" borderId="11" fillId="2" fontId="4" numFmtId="0" pivotButton="0" quotePrefix="0" xfId="0">
      <alignment horizontal="center" vertical="center"/>
    </xf>
    <xf applyAlignment="1" borderId="7" fillId="2" fontId="9" numFmtId="0" pivotButton="0" quotePrefix="0" xfId="0">
      <alignment horizontal="center" vertical="center"/>
    </xf>
    <xf applyAlignment="1" borderId="0" fillId="0" fontId="9" numFmtId="0" pivotButton="0" quotePrefix="0" xfId="0">
      <alignment horizontal="center" vertical="center"/>
    </xf>
    <xf applyAlignment="1" borderId="12" fillId="2" fontId="4" numFmtId="0" pivotButton="0" quotePrefix="0" xfId="0">
      <alignment horizontal="center" vertical="center"/>
    </xf>
    <xf applyAlignment="1" borderId="13" fillId="2" fontId="4" numFmtId="0" pivotButton="0" quotePrefix="0" xfId="0">
      <alignment horizontal="center" vertical="center"/>
    </xf>
    <xf applyAlignment="1" borderId="4" fillId="2" fontId="10" numFmtId="0" pivotButton="0" quotePrefix="0" xfId="0">
      <alignment horizontal="center" vertical="center"/>
    </xf>
    <xf applyAlignment="1" borderId="7" fillId="2" fontId="11" numFmtId="0" pivotButton="0" quotePrefix="0" xfId="0">
      <alignment vertical="center"/>
    </xf>
    <xf applyAlignment="1" borderId="7" fillId="2" fontId="9" numFmtId="0" pivotButton="0" quotePrefix="0" xfId="0">
      <alignment vertical="center"/>
    </xf>
    <xf applyAlignment="1" borderId="7" fillId="2" fontId="12" numFmtId="0" pivotButton="0" quotePrefix="0" xfId="0">
      <alignment horizontal="center" vertical="center"/>
    </xf>
    <xf applyAlignment="1" borderId="14" fillId="6" fontId="4" numFmtId="0" pivotButton="0" quotePrefix="0" xfId="0">
      <alignment horizontal="center" vertical="center"/>
    </xf>
    <xf applyAlignment="1" borderId="15" fillId="6" fontId="4" numFmtId="0" pivotButton="0" quotePrefix="0" xfId="0">
      <alignment horizontal="center" vertical="center"/>
    </xf>
    <xf applyAlignment="1" borderId="7" fillId="2" fontId="13" numFmtId="0" pivotButton="0" quotePrefix="0" xfId="0">
      <alignment horizontal="center" vertical="center"/>
    </xf>
    <xf applyAlignment="1" borderId="16" fillId="2" fontId="4" numFmtId="0" pivotButton="0" quotePrefix="0" xfId="0">
      <alignment horizontal="center" vertical="center"/>
    </xf>
    <xf applyAlignment="1" borderId="4" fillId="2" fontId="10" numFmtId="0" pivotButton="0" quotePrefix="0" xfId="0">
      <alignment horizontal="center" vertical="center" wrapText="1"/>
    </xf>
    <xf applyAlignment="1" borderId="13" fillId="2" fontId="14" numFmtId="0" pivotButton="0" quotePrefix="0" xfId="0">
      <alignment horizontal="center" vertical="center"/>
    </xf>
    <xf applyAlignment="1" borderId="13" fillId="7" fontId="4" numFmtId="0" pivotButton="0" quotePrefix="0" xfId="0">
      <alignment horizontal="center" vertical="center"/>
    </xf>
    <xf applyAlignment="1" borderId="17" fillId="2" fontId="4" numFmtId="0" pivotButton="0" quotePrefix="0" xfId="0">
      <alignment horizontal="center" vertical="center"/>
    </xf>
    <xf applyAlignment="1" borderId="17" fillId="2" fontId="14" numFmtId="0" pivotButton="0" quotePrefix="0" xfId="0">
      <alignment horizontal="center" vertical="center"/>
    </xf>
    <xf applyAlignment="1" borderId="0" fillId="2" fontId="12" numFmtId="0" pivotButton="0" quotePrefix="0" xfId="0">
      <alignment horizontal="center" vertical="center"/>
    </xf>
    <xf applyAlignment="1" borderId="15" fillId="2" fontId="4" numFmtId="0" pivotButton="0" quotePrefix="0" xfId="0">
      <alignment horizontal="center" vertical="center"/>
    </xf>
    <xf applyAlignment="1" borderId="18" fillId="2" fontId="4" numFmtId="0" pivotButton="0" quotePrefix="0" xfId="0">
      <alignment horizontal="center" vertical="center"/>
    </xf>
    <xf applyAlignment="1" borderId="0" fillId="0" fontId="10" numFmtId="0" pivotButton="0" quotePrefix="0" xfId="0">
      <alignment horizontal="center" vertical="center"/>
    </xf>
    <xf applyAlignment="1" borderId="15" fillId="6" fontId="14" numFmtId="0" pivotButton="0" quotePrefix="0" xfId="0">
      <alignment horizontal="center" vertical="center"/>
    </xf>
    <xf applyAlignment="1" borderId="0" fillId="2" fontId="13" numFmtId="0" pivotButton="0" quotePrefix="0" xfId="0">
      <alignment horizontal="center" vertical="center"/>
    </xf>
    <xf applyAlignment="1" borderId="0" fillId="0" fontId="0" numFmtId="14" pivotButton="0" quotePrefix="0" xfId="0">
      <alignment vertical="center"/>
    </xf>
    <xf borderId="0" fillId="0" fontId="0" numFmtId="0" pivotButton="0" quotePrefix="0" xfId="0"/>
    <xf applyAlignment="1" borderId="8" fillId="2" fontId="1" numFmtId="0" pivotButton="0" quotePrefix="0" xfId="0">
      <alignment horizontal="left" vertical="center"/>
    </xf>
    <xf borderId="1" fillId="0" fontId="0" numFmtId="0" pivotButton="0" quotePrefix="0" xfId="0"/>
    <xf borderId="9" fillId="0" fontId="0" numFmtId="0" pivotButton="0" quotePrefix="0" xfId="0"/>
    <xf applyAlignment="1" borderId="4" fillId="2" fontId="9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5年日报">
    <outlinePr summaryBelow="0" summaryRight="0"/>
    <pageSetUpPr/>
  </sheetPr>
  <dimension ref="A1:M54"/>
  <sheetViews>
    <sheetView workbookViewId="0">
      <selection activeCell="A1" sqref="A1"/>
    </sheetView>
  </sheetViews>
  <sheetFormatPr baseColWidth="10" customHeight="1" defaultColWidth="10" defaultRowHeight="16.5"/>
  <cols>
    <col customWidth="1" max="2" min="2" style="53" width="13.1640625"/>
    <col customWidth="1" max="4" min="4" style="29" width="30.6640625"/>
    <col customWidth="1" max="5" min="5" style="30" width="26.33203125"/>
    <col customWidth="1" hidden="1" max="8" min="7" style="53" width="10"/>
    <col customWidth="1" max="10" min="10" style="53" width="20"/>
  </cols>
  <sheetData>
    <row customHeight="1" ht="16.5" r="1" s="53">
      <c r="A1" s="27" t="inlineStr">
        <is>
          <t>区域</t>
        </is>
      </c>
      <c r="B1" s="28" t="inlineStr">
        <is>
          <t>中心</t>
        </is>
      </c>
      <c r="C1" s="28" t="inlineStr">
        <is>
          <t>是否签到</t>
        </is>
      </c>
      <c r="D1" s="29" t="inlineStr">
        <is>
          <t>2025年</t>
        </is>
      </c>
      <c r="E1" s="30" t="inlineStr">
        <is>
          <t>特殊情况</t>
        </is>
      </c>
      <c r="G1" s="22" t="inlineStr">
        <is>
          <t>中心总数</t>
        </is>
      </c>
      <c r="H1" s="24">
        <f>SUM(H2:H109)</f>
        <v/>
      </c>
      <c r="J1" s="22" t="inlineStr">
        <is>
          <t>中心总数(排除新中心）</t>
        </is>
      </c>
      <c r="K1" s="24">
        <f>SUM(K2:K109)</f>
        <v/>
      </c>
    </row>
    <row customHeight="1" ht="16.5" r="2" s="53">
      <c r="A2" s="31" t="inlineStr">
        <is>
          <t>华南一区</t>
        </is>
      </c>
      <c r="B2" s="32" t="inlineStr">
        <is>
          <t>深圳南山南油中心</t>
        </is>
      </c>
      <c r="C2" s="32" t="inlineStr">
        <is>
          <t>是</t>
        </is>
      </c>
      <c r="D2" s="33" t="inlineStr">
        <is>
          <t>累计未发1次</t>
        </is>
      </c>
      <c r="E2" s="29" t="inlineStr">
        <is>
          <t>黄玲累计未发4次，迟发2次</t>
        </is>
      </c>
      <c r="G2" s="31" t="inlineStr">
        <is>
          <t>华南一区</t>
        </is>
      </c>
      <c r="H2" s="23">
        <f>COUNTIF($A:$A,$G2)</f>
        <v/>
      </c>
      <c r="J2" s="31" t="inlineStr">
        <is>
          <t>华南一区</t>
        </is>
      </c>
      <c r="K2" s="23">
        <f>COUNTIFS($A:$A,$G2,$C:$C,"&lt;&gt;新中心")</f>
        <v/>
      </c>
      <c r="L2" s="34" t="inlineStr">
        <is>
          <t>华南</t>
        </is>
      </c>
      <c r="M2" s="35">
        <f>SUM(K2:K5)</f>
        <v/>
      </c>
    </row>
    <row customHeight="1" ht="16.5" r="3" s="53">
      <c r="A3" s="31" t="inlineStr">
        <is>
          <t>华南一区</t>
        </is>
      </c>
      <c r="B3" s="32" t="inlineStr">
        <is>
          <t>深圳龙岗龙城中心</t>
        </is>
      </c>
      <c r="C3" s="32" t="inlineStr">
        <is>
          <t>是</t>
        </is>
      </c>
      <c r="D3" s="36" t="inlineStr">
        <is>
          <t>累计未发6次，迟发3次</t>
        </is>
      </c>
      <c r="E3" s="30" t="inlineStr">
        <is>
          <t>龙城主任郑希9.16离职，待新主任上岗</t>
        </is>
      </c>
      <c r="G3" s="31" t="inlineStr">
        <is>
          <t>华南二区</t>
        </is>
      </c>
      <c r="H3" s="23">
        <f>COUNTIF($A:$A,$G3)</f>
        <v/>
      </c>
      <c r="J3" s="31" t="inlineStr">
        <is>
          <t>华南二区</t>
        </is>
      </c>
      <c r="K3" s="23">
        <f>COUNTIFS($A:$A,$G3,$C:$C,"&lt;&gt;新中心")</f>
        <v/>
      </c>
      <c r="L3" s="34" t="inlineStr">
        <is>
          <t>华东</t>
        </is>
      </c>
      <c r="M3" s="35">
        <f>SUM(K6:K9)</f>
        <v/>
      </c>
    </row>
    <row customHeight="1" ht="16.5" r="4" s="53">
      <c r="A4" s="37" t="inlineStr">
        <is>
          <t>华南一区</t>
        </is>
      </c>
      <c r="B4" s="38" t="inlineStr">
        <is>
          <t>深圳宝安中心</t>
        </is>
      </c>
      <c r="C4" s="38" t="inlineStr">
        <is>
          <t>是</t>
        </is>
      </c>
      <c r="D4" s="29" t="inlineStr">
        <is>
          <t>累计未发4次，迟发2次</t>
        </is>
      </c>
      <c r="G4" s="31" t="inlineStr">
        <is>
          <t>华南三区</t>
        </is>
      </c>
      <c r="H4" s="23">
        <f>COUNTIF($A:$A,$G4)</f>
        <v/>
      </c>
      <c r="J4" s="31" t="inlineStr">
        <is>
          <t>华南三区</t>
        </is>
      </c>
      <c r="K4" s="23">
        <f>COUNTIFS($A:$A,$G4,$C:$C,"&lt;&gt;新中心")</f>
        <v/>
      </c>
      <c r="L4" s="34" t="inlineStr">
        <is>
          <t>华北</t>
        </is>
      </c>
      <c r="M4" s="35">
        <f>SUM(K10:K11)</f>
        <v/>
      </c>
    </row>
    <row customHeight="1" ht="16.5" r="5" s="53">
      <c r="A5" s="37" t="inlineStr">
        <is>
          <t>华南一区</t>
        </is>
      </c>
      <c r="B5" s="38" t="inlineStr">
        <is>
          <t>深圳光明中心</t>
        </is>
      </c>
      <c r="C5" s="38" t="inlineStr">
        <is>
          <t>是</t>
        </is>
      </c>
      <c r="D5" s="29" t="inlineStr">
        <is>
          <t>累计未发7次，迟发3次</t>
        </is>
      </c>
      <c r="E5" s="30" t="inlineStr">
        <is>
          <t>（换主任前）累计未发2次</t>
        </is>
      </c>
      <c r="G5" s="31" t="inlineStr">
        <is>
          <t>华南四区</t>
        </is>
      </c>
      <c r="H5" s="23">
        <f>COUNTIF($A:$A,$G5)</f>
        <v/>
      </c>
      <c r="J5" s="31" t="inlineStr">
        <is>
          <t>华南四区</t>
        </is>
      </c>
      <c r="K5" s="23">
        <f>COUNTIFS($A:$A,$G5,$C:$C,"&lt;&gt;新中心")</f>
        <v/>
      </c>
      <c r="L5" s="34" t="inlineStr">
        <is>
          <t>华中</t>
        </is>
      </c>
      <c r="M5" s="35">
        <f>K12</f>
        <v/>
      </c>
    </row>
    <row customHeight="1" ht="16.5" r="6" s="53">
      <c r="A6" s="37" t="inlineStr">
        <is>
          <t>华南一区</t>
        </is>
      </c>
      <c r="B6" s="38" t="inlineStr">
        <is>
          <t>深圳福田中心</t>
        </is>
      </c>
      <c r="C6" s="38" t="inlineStr">
        <is>
          <t>是</t>
        </is>
      </c>
      <c r="D6" s="33" t="inlineStr">
        <is>
          <t>累计未发3次</t>
        </is>
      </c>
      <c r="G6" s="31" t="inlineStr">
        <is>
          <t>华东一区</t>
        </is>
      </c>
      <c r="H6" s="23">
        <f>COUNTIF($A:$A,$G6)</f>
        <v/>
      </c>
      <c r="J6" s="31" t="inlineStr">
        <is>
          <t>华东一区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customHeight="1" ht="16.5" r="7" s="53">
      <c r="A7" s="31" t="inlineStr">
        <is>
          <t>华南二区</t>
        </is>
      </c>
      <c r="B7" s="32" t="inlineStr">
        <is>
          <t>深圳坂田杨美中心</t>
        </is>
      </c>
      <c r="C7" s="32" t="inlineStr">
        <is>
          <t>是</t>
        </is>
      </c>
      <c r="D7" s="29" t="inlineStr">
        <is>
          <t>累计未发1次，迟发7次</t>
        </is>
      </c>
      <c r="E7" s="30" t="inlineStr">
        <is>
          <t>赵鑫8.2病假1次，迟发不累计</t>
        </is>
      </c>
      <c r="G7" s="31" t="inlineStr">
        <is>
          <t>华东二区</t>
        </is>
      </c>
      <c r="H7" s="23">
        <f>COUNTIF($A:$A,$G7)</f>
        <v/>
      </c>
      <c r="J7" s="31" t="inlineStr">
        <is>
          <t>华东二区</t>
        </is>
      </c>
      <c r="K7" s="23">
        <f>COUNTIFS($A:$A,$G7,$C:$C,"&lt;&gt;新中心")</f>
        <v/>
      </c>
    </row>
    <row customHeight="1" ht="16.5" r="8" s="53">
      <c r="A8" s="31" t="inlineStr">
        <is>
          <t>华南二区</t>
        </is>
      </c>
      <c r="B8" s="32" t="inlineStr">
        <is>
          <t>深圳龙华民治中心</t>
        </is>
      </c>
      <c r="C8" s="32" t="inlineStr">
        <is>
          <t>是</t>
        </is>
      </c>
      <c r="D8" s="29" t="inlineStr">
        <is>
          <t>累计未发2次，迟发6次</t>
        </is>
      </c>
      <c r="G8" s="31" t="inlineStr">
        <is>
          <t>华东三区</t>
        </is>
      </c>
      <c r="H8" s="23">
        <f>COUNTIF($A:$A,$G8)</f>
        <v/>
      </c>
      <c r="J8" s="31" t="inlineStr">
        <is>
          <t>华东三区</t>
        </is>
      </c>
      <c r="K8" s="23">
        <f>COUNTIFS($A:$A,$G8,$C:$C,"&lt;&gt;新中心")</f>
        <v/>
      </c>
    </row>
    <row customHeight="1" ht="16.5" r="9" s="53">
      <c r="A9" s="31" t="inlineStr">
        <is>
          <t>华南二区</t>
        </is>
      </c>
      <c r="B9" s="32" t="inlineStr">
        <is>
          <t>泉州晋江中心</t>
        </is>
      </c>
      <c r="C9" s="32" t="inlineStr">
        <is>
          <t>是</t>
        </is>
      </c>
      <c r="D9" s="33" t="inlineStr">
        <is>
          <t>累计迟发6次</t>
        </is>
      </c>
      <c r="E9" s="30" t="inlineStr">
        <is>
          <t>赵鑫8.2病假1次，迟发不累计</t>
        </is>
      </c>
      <c r="G9" s="31" t="inlineStr">
        <is>
          <t>华东四区</t>
        </is>
      </c>
      <c r="H9" s="23">
        <f>COUNTIF($A:$A,$G9)</f>
        <v/>
      </c>
      <c r="J9" s="31" t="inlineStr">
        <is>
          <t>华东四区</t>
        </is>
      </c>
      <c r="K9" s="23">
        <f>COUNTIFS($A:$A,$G9,$C:$C,"&lt;&gt;新中心")</f>
        <v/>
      </c>
    </row>
    <row customHeight="1" ht="16.5" r="10" s="53">
      <c r="A10" s="31" t="inlineStr">
        <is>
          <t>华南三区</t>
        </is>
      </c>
      <c r="B10" s="32" t="inlineStr">
        <is>
          <t>广州盈丰中心</t>
        </is>
      </c>
      <c r="C10" s="32" t="inlineStr">
        <is>
          <t>是</t>
        </is>
      </c>
      <c r="D10" s="36" t="inlineStr">
        <is>
          <t>累计未发2次，迟发4次</t>
        </is>
      </c>
      <c r="G10" s="31" t="inlineStr">
        <is>
          <t>华北一区</t>
        </is>
      </c>
      <c r="H10" s="23">
        <f>COUNTIF($A:$A,$G10)</f>
        <v/>
      </c>
      <c r="J10" s="31" t="inlineStr">
        <is>
          <t>华北一区</t>
        </is>
      </c>
      <c r="K10" s="23">
        <f>COUNTIFS($A:$A,$G10,$C:$C,"&lt;&gt;新中心")</f>
        <v/>
      </c>
    </row>
    <row customHeight="1" ht="16.5" r="11" s="53">
      <c r="A11" s="31" t="inlineStr">
        <is>
          <t>华南三区</t>
        </is>
      </c>
      <c r="B11" s="32" t="inlineStr">
        <is>
          <t>广州岗顶中心</t>
        </is>
      </c>
      <c r="C11" s="32" t="inlineStr">
        <is>
          <t>是</t>
        </is>
      </c>
      <c r="D11" s="39" t="inlineStr">
        <is>
          <t>累计未发1次</t>
        </is>
      </c>
      <c r="G11" s="31" t="inlineStr">
        <is>
          <t>华北二区</t>
        </is>
      </c>
      <c r="H11" s="23">
        <f>COUNTIF($A:$A,$G11)</f>
        <v/>
      </c>
      <c r="J11" s="31" t="inlineStr">
        <is>
          <t>华北二区</t>
        </is>
      </c>
      <c r="K11" s="23">
        <f>COUNTIFS($A:$A,$G11,$C:$C,"&lt;&gt;新中心")</f>
        <v/>
      </c>
    </row>
    <row customHeight="1" ht="16.5" r="12" s="53">
      <c r="A12" s="31" t="inlineStr">
        <is>
          <t>华南三区</t>
        </is>
      </c>
      <c r="B12" s="32" t="inlineStr">
        <is>
          <t>广州白云中心</t>
        </is>
      </c>
      <c r="C12" s="32" t="inlineStr">
        <is>
          <t>是</t>
        </is>
      </c>
      <c r="D12" s="33" t="inlineStr">
        <is>
          <t>累计未发8次，迟发1次</t>
        </is>
      </c>
      <c r="E12" s="33" t="inlineStr">
        <is>
          <t>赵莉娜累计未发4次</t>
        </is>
      </c>
      <c r="G12" s="31" t="inlineStr">
        <is>
          <t>华中区</t>
        </is>
      </c>
      <c r="H12" s="23">
        <f>COUNTIF($A:$A,$G12)</f>
        <v/>
      </c>
      <c r="J12" s="31" t="inlineStr">
        <is>
          <t>华中区</t>
        </is>
      </c>
      <c r="K12" s="23">
        <f>COUNTIFS($A:$A,$G12,$C:$C,"&lt;&gt;新中心")</f>
        <v/>
      </c>
    </row>
    <row customHeight="1" ht="16.5" r="13" s="53">
      <c r="A13" s="31" t="inlineStr">
        <is>
          <t>华南三区</t>
        </is>
      </c>
      <c r="B13" s="32" t="inlineStr">
        <is>
          <t>佛山禅城中心</t>
        </is>
      </c>
      <c r="C13" s="32" t="inlineStr">
        <is>
          <t>是</t>
        </is>
      </c>
      <c r="D13" s="33" t="inlineStr">
        <is>
          <t>累计未发1次</t>
        </is>
      </c>
      <c r="G13" s="31" t="inlineStr">
        <is>
          <t>西南区</t>
        </is>
      </c>
      <c r="H13" s="23">
        <f>COUNTIF($A:$A,$G13)</f>
        <v/>
      </c>
      <c r="J13" s="31" t="inlineStr">
        <is>
          <t>西南区</t>
        </is>
      </c>
      <c r="K13" s="23">
        <f>COUNTIFS($A:$A,$G13,$C:$C,"&lt;&gt;新中心")</f>
        <v/>
      </c>
    </row>
    <row customHeight="1" ht="16.5" r="14" s="53">
      <c r="A14" s="31" t="inlineStr">
        <is>
          <t>华南三区</t>
        </is>
      </c>
      <c r="B14" s="32" t="inlineStr">
        <is>
          <t>广州米声中心</t>
        </is>
      </c>
      <c r="C14" s="32" t="inlineStr">
        <is>
          <t>是</t>
        </is>
      </c>
      <c r="D14" s="33" t="inlineStr">
        <is>
          <t>累计未发2次</t>
        </is>
      </c>
    </row>
    <row customHeight="1" ht="16.5" r="15" s="53">
      <c r="A15" s="31" t="inlineStr">
        <is>
          <t>华南四区</t>
        </is>
      </c>
      <c r="B15" s="32" t="inlineStr">
        <is>
          <t>广州番禺中心</t>
        </is>
      </c>
      <c r="C15" s="32" t="inlineStr">
        <is>
          <t>是</t>
        </is>
      </c>
    </row>
    <row customHeight="1" ht="16.5" r="16" s="53">
      <c r="A16" s="31" t="inlineStr">
        <is>
          <t>华南四区</t>
        </is>
      </c>
      <c r="B16" s="32" t="inlineStr">
        <is>
          <t>广州黄埔中心</t>
        </is>
      </c>
      <c r="C16" s="32" t="inlineStr">
        <is>
          <t>是</t>
        </is>
      </c>
    </row>
    <row customHeight="1" ht="16.5" r="17" s="53">
      <c r="A17" s="31" t="inlineStr">
        <is>
          <t>华南四区</t>
        </is>
      </c>
      <c r="B17" s="32" t="inlineStr">
        <is>
          <t>东莞南城中心</t>
        </is>
      </c>
      <c r="C17" s="32" t="inlineStr">
        <is>
          <t>是</t>
        </is>
      </c>
      <c r="D17" s="29" t="inlineStr">
        <is>
          <t>累计未发9次，迟发4次</t>
        </is>
      </c>
    </row>
    <row customHeight="1" ht="16.5" r="18" s="53">
      <c r="A18" s="31" t="inlineStr">
        <is>
          <t>华东一区</t>
        </is>
      </c>
      <c r="B18" s="40" t="inlineStr">
        <is>
          <t>上海李子园中心</t>
        </is>
      </c>
      <c r="C18" s="32" t="inlineStr">
        <is>
          <t>是</t>
        </is>
      </c>
      <c r="D18" s="29" t="inlineStr">
        <is>
          <t>累计迟发1次</t>
        </is>
      </c>
    </row>
    <row customHeight="1" ht="16.5" r="19" s="53">
      <c r="A19" s="31" t="inlineStr">
        <is>
          <t>华东一区</t>
        </is>
      </c>
      <c r="B19" s="32" t="inlineStr">
        <is>
          <t>上海宝山中心</t>
        </is>
      </c>
      <c r="C19" s="32" t="inlineStr">
        <is>
          <t>是</t>
        </is>
      </c>
      <c r="D19" s="39" t="inlineStr">
        <is>
          <t>累计迟发1次</t>
        </is>
      </c>
    </row>
    <row customHeight="1" ht="16.5" r="20" s="53">
      <c r="A20" s="31" t="inlineStr">
        <is>
          <t>华东一区</t>
        </is>
      </c>
      <c r="B20" s="32" t="inlineStr">
        <is>
          <t>上海松江中心</t>
        </is>
      </c>
      <c r="C20" s="32" t="inlineStr">
        <is>
          <t>是</t>
        </is>
      </c>
      <c r="D20" s="33" t="inlineStr">
        <is>
          <t>累计未发4次，迟发7次</t>
        </is>
      </c>
    </row>
    <row customHeight="1" ht="16.5" r="21" s="53">
      <c r="A21" s="31" t="inlineStr">
        <is>
          <t>华东一区</t>
        </is>
      </c>
      <c r="B21" s="32" t="inlineStr">
        <is>
          <t>上海香樟园中心</t>
        </is>
      </c>
      <c r="C21" s="32" t="inlineStr">
        <is>
          <t>是</t>
        </is>
      </c>
      <c r="D21" s="41" t="inlineStr">
        <is>
          <t xml:space="preserve">
</t>
        </is>
      </c>
    </row>
    <row customHeight="1" ht="16.5" r="22" s="53">
      <c r="A22" s="31" t="inlineStr">
        <is>
          <t>华东一区</t>
        </is>
      </c>
      <c r="B22" s="32" t="inlineStr">
        <is>
          <t>苏州中心</t>
        </is>
      </c>
      <c r="C22" s="42" t="inlineStr">
        <is>
          <t>是</t>
        </is>
      </c>
      <c r="D22" s="29" t="inlineStr">
        <is>
          <t>累计未发3次，迟发2次</t>
        </is>
      </c>
    </row>
    <row customHeight="1" ht="16.5" r="23" s="53">
      <c r="A23" s="31" t="inlineStr">
        <is>
          <t>华东二区</t>
        </is>
      </c>
      <c r="B23" s="32" t="inlineStr">
        <is>
          <t>上海浦东中心</t>
        </is>
      </c>
      <c r="C23" s="42" t="inlineStr">
        <is>
          <t>是</t>
        </is>
      </c>
      <c r="D23" s="36" t="inlineStr">
        <is>
          <t>累计未发6次，迟发3次</t>
        </is>
      </c>
    </row>
    <row customHeight="1" ht="16.5" r="24" s="53">
      <c r="A24" s="31" t="inlineStr">
        <is>
          <t>华东二区</t>
        </is>
      </c>
      <c r="B24" s="32" t="inlineStr">
        <is>
          <t>无锡中心</t>
        </is>
      </c>
      <c r="C24" s="42" t="inlineStr">
        <is>
          <t>是</t>
        </is>
      </c>
      <c r="D24" s="36" t="inlineStr">
        <is>
          <t>累计未发2次</t>
        </is>
      </c>
      <c r="E24" s="30" t="inlineStr">
        <is>
          <t>(换主任前)累计未发2次</t>
        </is>
      </c>
    </row>
    <row customHeight="1" ht="16.5" r="25" s="53">
      <c r="A25" s="31" t="inlineStr">
        <is>
          <t>华东二区</t>
        </is>
      </c>
      <c r="B25" s="32" t="inlineStr">
        <is>
          <t>常州中心</t>
        </is>
      </c>
      <c r="C25" s="42" t="inlineStr">
        <is>
          <t>是</t>
        </is>
      </c>
      <c r="D25" s="33" t="inlineStr">
        <is>
          <t>累计未发3次，迟发2次</t>
        </is>
      </c>
    </row>
    <row customHeight="1" ht="16.5" r="26" s="53">
      <c r="A26" s="31" t="inlineStr">
        <is>
          <t>华东三区</t>
        </is>
      </c>
      <c r="B26" s="32" t="inlineStr">
        <is>
          <t>南京新街口中心</t>
        </is>
      </c>
      <c r="C26" s="42" t="inlineStr">
        <is>
          <t>是</t>
        </is>
      </c>
      <c r="D26" s="29" t="inlineStr">
        <is>
          <t>累计未发7次，迟发1次</t>
        </is>
      </c>
      <c r="E26" s="30" t="inlineStr">
        <is>
          <t>（换主任前)累计未发2次</t>
        </is>
      </c>
    </row>
    <row customHeight="1" ht="16.5" r="27" s="53">
      <c r="A27" s="31" t="inlineStr">
        <is>
          <t>华东三区</t>
        </is>
      </c>
      <c r="B27" s="43" t="inlineStr">
        <is>
          <t>南京软件谷中心</t>
        </is>
      </c>
      <c r="C27" s="42" t="inlineStr">
        <is>
          <t>是</t>
        </is>
      </c>
      <c r="D27" s="36" t="inlineStr">
        <is>
          <t>累计未发4次，迟发8次</t>
        </is>
      </c>
    </row>
    <row customHeight="1" ht="16.5" r="28" s="53">
      <c r="A28" s="31" t="inlineStr">
        <is>
          <t>华东三区</t>
        </is>
      </c>
      <c r="B28" s="44" t="inlineStr">
        <is>
          <t>南京浦口中心</t>
        </is>
      </c>
      <c r="C28" s="45" t="inlineStr">
        <is>
          <t>是</t>
        </is>
      </c>
      <c r="D28" s="46" t="inlineStr">
        <is>
          <t>累计未发1次，迟发1次</t>
        </is>
      </c>
    </row>
    <row customHeight="1" ht="16.5" r="29" s="53">
      <c r="A29" s="31" t="inlineStr">
        <is>
          <t>华东四区</t>
        </is>
      </c>
      <c r="B29" s="32" t="inlineStr">
        <is>
          <t>杭州花园岗中心</t>
        </is>
      </c>
      <c r="C29" s="42" t="inlineStr">
        <is>
          <t>是</t>
        </is>
      </c>
      <c r="D29" s="36" t="inlineStr">
        <is>
          <t>累计未发2次，迟发6次</t>
        </is>
      </c>
    </row>
    <row customHeight="1" ht="16.5" r="30" s="53">
      <c r="A30" s="31" t="inlineStr">
        <is>
          <t>华东四区</t>
        </is>
      </c>
      <c r="B30" s="44" t="inlineStr">
        <is>
          <t>杭州上城中心</t>
        </is>
      </c>
      <c r="C30" s="45" t="inlineStr">
        <is>
          <t>是</t>
        </is>
      </c>
      <c r="D30" s="46" t="inlineStr">
        <is>
          <t>累计未发5次，迟发1次</t>
        </is>
      </c>
    </row>
    <row customHeight="1" ht="16.5" r="31" s="53">
      <c r="A31" s="31" t="inlineStr">
        <is>
          <t>华东四区</t>
        </is>
      </c>
      <c r="B31" s="32" t="inlineStr">
        <is>
          <t>杭州滨江中心</t>
        </is>
      </c>
      <c r="C31" s="42" t="inlineStr">
        <is>
          <t>是</t>
        </is>
      </c>
      <c r="D31" s="36" t="inlineStr">
        <is>
          <t>累计未发3次</t>
        </is>
      </c>
      <c r="E31" s="30" t="inlineStr">
        <is>
          <t>(蔡研研)累计未发2次，迟发1次</t>
        </is>
      </c>
    </row>
    <row customHeight="1" ht="16.5" r="32" s="53">
      <c r="A32" s="31" t="inlineStr">
        <is>
          <t>华东四区</t>
        </is>
      </c>
      <c r="B32" s="32" t="inlineStr">
        <is>
          <t>宁波中心</t>
        </is>
      </c>
      <c r="C32" s="42" t="inlineStr">
        <is>
          <t>是</t>
        </is>
      </c>
      <c r="D32" s="39" t="inlineStr">
        <is>
          <t>累计未发3次，迟发4次</t>
        </is>
      </c>
    </row>
    <row customHeight="1" ht="16.5" r="33" s="53">
      <c r="A33" s="31" t="inlineStr">
        <is>
          <t>华东四区</t>
        </is>
      </c>
      <c r="B33" s="32" t="inlineStr">
        <is>
          <t>合肥蜀山中心</t>
        </is>
      </c>
      <c r="C33" s="42" t="inlineStr">
        <is>
          <t>是</t>
        </is>
      </c>
      <c r="D33" s="36" t="inlineStr">
        <is>
          <t>累计未发1次，迟发4次</t>
        </is>
      </c>
    </row>
    <row customHeight="1" ht="16.5" r="34" s="53">
      <c r="A34" s="31" t="inlineStr">
        <is>
          <t>华北一区</t>
        </is>
      </c>
      <c r="B34" s="32" t="inlineStr">
        <is>
          <t>北京双桥中心</t>
        </is>
      </c>
      <c r="C34" s="42" t="inlineStr">
        <is>
          <t>是</t>
        </is>
      </c>
      <c r="D34" s="33" t="inlineStr">
        <is>
          <t>累计未发1次，迟发2次</t>
        </is>
      </c>
      <c r="E34" s="30" t="inlineStr">
        <is>
          <t>双桥交接期间未发不累计</t>
        </is>
      </c>
    </row>
    <row customHeight="1" ht="16.5" r="35" s="53">
      <c r="A35" s="31" t="inlineStr">
        <is>
          <t>华北一区</t>
        </is>
      </c>
      <c r="B35" s="32" t="inlineStr">
        <is>
          <t>北京方庄中心</t>
        </is>
      </c>
      <c r="C35" s="42" t="inlineStr">
        <is>
          <t>是</t>
        </is>
      </c>
      <c r="D35" s="33" t="inlineStr">
        <is>
          <t>累计未发2次</t>
        </is>
      </c>
    </row>
    <row customHeight="1" ht="16.5" r="36" s="53">
      <c r="A36" s="31" t="inlineStr">
        <is>
          <t>华北一区</t>
        </is>
      </c>
      <c r="B36" s="32" t="inlineStr">
        <is>
          <t>郑州金水中心</t>
        </is>
      </c>
      <c r="C36" s="42" t="inlineStr">
        <is>
          <t>是</t>
        </is>
      </c>
      <c r="D36" s="29" t="inlineStr">
        <is>
          <t>累计未发1次</t>
        </is>
      </c>
      <c r="E36" s="30" t="inlineStr">
        <is>
          <t>（换主任前)累计未发1次，迟发1次</t>
        </is>
      </c>
    </row>
    <row customHeight="1" ht="16.5" r="37" s="53">
      <c r="A37" s="31" t="inlineStr">
        <is>
          <t>华北一区</t>
        </is>
      </c>
      <c r="B37" s="32" t="inlineStr">
        <is>
          <t>郑州二七中心</t>
        </is>
      </c>
      <c r="C37" s="42" t="inlineStr">
        <is>
          <t>是</t>
        </is>
      </c>
      <c r="D37" s="36" t="inlineStr">
        <is>
          <t>累计未发7次，迟发2次</t>
        </is>
      </c>
    </row>
    <row customHeight="1" ht="16.5" r="38" s="53">
      <c r="A38" s="31" t="inlineStr">
        <is>
          <t>华北一区</t>
        </is>
      </c>
      <c r="B38" s="32" t="inlineStr">
        <is>
          <t>天津中心</t>
        </is>
      </c>
      <c r="C38" s="42" t="inlineStr">
        <is>
          <t>是</t>
        </is>
      </c>
    </row>
    <row customHeight="1" ht="16.5" r="39" s="53">
      <c r="A39" s="31" t="inlineStr">
        <is>
          <t>华北一区</t>
        </is>
      </c>
      <c r="B39" s="32" t="inlineStr">
        <is>
          <t>西安莲湖中心</t>
        </is>
      </c>
      <c r="C39" s="42" t="inlineStr">
        <is>
          <t>是</t>
        </is>
      </c>
      <c r="D39" s="29" t="inlineStr">
        <is>
          <t>累计未发1次，迟发1次</t>
        </is>
      </c>
    </row>
    <row customHeight="1" ht="16.5" r="40" s="53">
      <c r="A40" s="31" t="inlineStr">
        <is>
          <t>华北一区</t>
        </is>
      </c>
      <c r="B40" s="47" t="inlineStr">
        <is>
          <t>西安曲江中心</t>
        </is>
      </c>
      <c r="C40" s="42" t="inlineStr">
        <is>
          <t>是</t>
        </is>
      </c>
      <c r="D40" s="46" t="n"/>
    </row>
    <row customHeight="1" ht="16.5" r="41" s="53">
      <c r="A41" s="31" t="inlineStr">
        <is>
          <t>华北一区</t>
        </is>
      </c>
      <c r="B41" s="44" t="inlineStr">
        <is>
          <t>济南省体中心</t>
        </is>
      </c>
      <c r="C41" s="42" t="inlineStr">
        <is>
          <t>是</t>
        </is>
      </c>
      <c r="D41" s="46" t="inlineStr">
        <is>
          <t>累计未发1次，迟发1次</t>
        </is>
      </c>
    </row>
    <row customHeight="1" ht="16.5" r="42" s="53">
      <c r="A42" s="31" t="inlineStr">
        <is>
          <t>华北一区</t>
        </is>
      </c>
      <c r="B42" s="44" t="inlineStr">
        <is>
          <t>北京通州中心</t>
        </is>
      </c>
      <c r="C42" s="42" t="inlineStr">
        <is>
          <t>是</t>
        </is>
      </c>
      <c r="D42" s="33" t="inlineStr">
        <is>
          <t>累计未发1次</t>
        </is>
      </c>
      <c r="E42" s="46" t="inlineStr">
        <is>
          <t>李紫斌累计未发1次，迟发1次</t>
        </is>
      </c>
    </row>
    <row customHeight="1" ht="16.5" r="43" s="53">
      <c r="A43" s="31" t="inlineStr">
        <is>
          <t>华北二区</t>
        </is>
      </c>
      <c r="B43" s="32" t="inlineStr">
        <is>
          <t>北京望京中心</t>
        </is>
      </c>
      <c r="C43" s="42" t="inlineStr">
        <is>
          <t>是</t>
        </is>
      </c>
      <c r="D43" s="36" t="inlineStr">
        <is>
          <t>累计未发3次</t>
        </is>
      </c>
    </row>
    <row customHeight="1" ht="16.5" r="44" s="53">
      <c r="A44" s="31" t="inlineStr">
        <is>
          <t>华北二区</t>
        </is>
      </c>
      <c r="B44" s="32" t="inlineStr">
        <is>
          <t>北京海淀中心</t>
        </is>
      </c>
      <c r="C44" s="42" t="inlineStr">
        <is>
          <t>是</t>
        </is>
      </c>
      <c r="D44" s="36" t="inlineStr">
        <is>
          <t>累计未发5次</t>
        </is>
      </c>
    </row>
    <row customHeight="1" ht="16.5" r="45" s="53">
      <c r="A45" s="31" t="inlineStr">
        <is>
          <t>华北二区</t>
        </is>
      </c>
      <c r="B45" s="32" t="inlineStr">
        <is>
          <t>北京万柳中心</t>
        </is>
      </c>
      <c r="C45" s="42" t="inlineStr">
        <is>
          <t>是</t>
        </is>
      </c>
      <c r="D45" s="36" t="inlineStr">
        <is>
          <t>累计未发2次，迟发1次</t>
        </is>
      </c>
    </row>
    <row customHeight="1" ht="16.5" r="46" s="53">
      <c r="A46" s="31" t="inlineStr">
        <is>
          <t>华北二区</t>
        </is>
      </c>
      <c r="B46" s="44" t="inlineStr">
        <is>
          <t>石家庄中心</t>
        </is>
      </c>
      <c r="C46" s="42" t="inlineStr">
        <is>
          <t>是</t>
        </is>
      </c>
      <c r="D46" s="46" t="inlineStr">
        <is>
          <t>累计未发7次，迟发1次</t>
        </is>
      </c>
    </row>
    <row customHeight="1" ht="16.5" r="47" s="53">
      <c r="A47" s="31" t="inlineStr">
        <is>
          <t>华中区</t>
        </is>
      </c>
      <c r="B47" s="32" t="inlineStr">
        <is>
          <t>武汉汉阳中心</t>
        </is>
      </c>
      <c r="C47" s="42" t="inlineStr">
        <is>
          <t>是</t>
        </is>
      </c>
      <c r="D47" s="36" t="inlineStr">
        <is>
          <t>累计未发1次</t>
        </is>
      </c>
      <c r="E47" s="30" t="inlineStr">
        <is>
          <t>（换主任前）累计迟发1次</t>
        </is>
      </c>
    </row>
    <row customHeight="1" ht="16.5" r="48" s="53">
      <c r="A48" s="31" t="inlineStr">
        <is>
          <t>华中区</t>
        </is>
      </c>
      <c r="B48" s="44" t="inlineStr">
        <is>
          <t>武汉光谷中心</t>
        </is>
      </c>
      <c r="C48" s="42" t="inlineStr">
        <is>
          <t>是</t>
        </is>
      </c>
      <c r="D48" s="51" t="n"/>
    </row>
    <row customHeight="1" ht="16.5" r="49" s="53">
      <c r="A49" s="31" t="inlineStr">
        <is>
          <t>华中区</t>
        </is>
      </c>
      <c r="B49" s="32" t="inlineStr">
        <is>
          <t>武汉香港路中心</t>
        </is>
      </c>
      <c r="C49" s="42" t="inlineStr">
        <is>
          <t>是</t>
        </is>
      </c>
      <c r="D49" s="39" t="inlineStr">
        <is>
          <t>累计迟发1次</t>
        </is>
      </c>
    </row>
    <row customHeight="1" ht="16.5" r="50" s="53">
      <c r="A50" s="31" t="inlineStr">
        <is>
          <t>华中区</t>
        </is>
      </c>
      <c r="B50" s="32" t="inlineStr">
        <is>
          <t>长沙汇金中心</t>
        </is>
      </c>
      <c r="C50" s="42" t="inlineStr">
        <is>
          <t>是</t>
        </is>
      </c>
      <c r="D50" s="29" t="inlineStr">
        <is>
          <t>累计未发2次，迟发4次</t>
        </is>
      </c>
    </row>
    <row customHeight="1" ht="16.5" r="51" s="53">
      <c r="A51" s="31" t="inlineStr">
        <is>
          <t>华中区</t>
        </is>
      </c>
      <c r="B51" s="32" t="inlineStr">
        <is>
          <t>南昌红谷滩中心</t>
        </is>
      </c>
      <c r="C51" s="42" t="inlineStr">
        <is>
          <t>是</t>
        </is>
      </c>
      <c r="D51" s="36" t="inlineStr">
        <is>
          <t>累计未发8次</t>
        </is>
      </c>
    </row>
    <row customHeight="1" ht="16.5" r="52" s="53">
      <c r="A52" s="31" t="inlineStr">
        <is>
          <t>西南区</t>
        </is>
      </c>
      <c r="B52" s="32" t="inlineStr">
        <is>
          <t>成都高新中心</t>
        </is>
      </c>
      <c r="C52" s="42" t="inlineStr">
        <is>
          <t>是</t>
        </is>
      </c>
      <c r="D52" s="36" t="inlineStr">
        <is>
          <t>累计未发3次，迟发1次</t>
        </is>
      </c>
      <c r="E52" s="49" t="inlineStr">
        <is>
          <t>刘艳累计未发4次</t>
        </is>
      </c>
    </row>
    <row customHeight="1" ht="16.5" r="53" s="53">
      <c r="A53" s="31" t="inlineStr">
        <is>
          <t>西南区</t>
        </is>
      </c>
      <c r="B53" s="32" t="inlineStr">
        <is>
          <t>成都武侯中心</t>
        </is>
      </c>
      <c r="C53" s="42" t="inlineStr">
        <is>
          <t>是</t>
        </is>
      </c>
      <c r="D53" s="33" t="inlineStr">
        <is>
          <t>累计未发10次，迟发3次</t>
        </is>
      </c>
      <c r="E53" s="30" t="inlineStr">
        <is>
          <t>(换主任前)累计迟发1次</t>
        </is>
      </c>
    </row>
    <row customHeight="1" ht="16.5" r="54" s="53">
      <c r="A54" s="31" t="inlineStr">
        <is>
          <t>西南区</t>
        </is>
      </c>
      <c r="B54" s="32" t="inlineStr">
        <is>
          <t>重庆渝北中心</t>
        </is>
      </c>
      <c r="C54" s="42" t="inlineStr">
        <is>
          <t>是</t>
        </is>
      </c>
      <c r="D54" s="29" t="inlineStr">
        <is>
          <t>累计未发6次，迟发5次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2026年日报">
    <outlinePr summaryBelow="0" summaryRight="0"/>
    <pageSetUpPr/>
  </sheetPr>
  <dimension ref="A1:M53"/>
  <sheetViews>
    <sheetView tabSelected="1" topLeftCell="A5" workbookViewId="0">
      <selection activeCell="D23" sqref="D23"/>
    </sheetView>
  </sheetViews>
  <sheetFormatPr baseColWidth="10" customHeight="1" defaultColWidth="10" defaultRowHeight="16.5"/>
  <cols>
    <col customWidth="1" max="2" min="2" style="53" width="13.1640625"/>
    <col customWidth="1" max="4" min="4" style="29" width="30.6640625"/>
    <col customWidth="1" max="5" min="5" style="30" width="26.33203125"/>
    <col customWidth="1" hidden="1" max="8" min="7" style="53" width="10"/>
    <col customWidth="1" max="10" min="10" style="53" width="20"/>
  </cols>
  <sheetData>
    <row customHeight="1" ht="16.5" r="1" s="53">
      <c r="A1" s="0" t="inlineStr">
        <is>
          <t>更新日期</t>
        </is>
      </c>
      <c r="B1" s="52" t="n">
        <v>46111</v>
      </c>
    </row>
    <row customHeight="1" ht="16.5" r="2" s="53">
      <c r="A2" s="27" t="inlineStr">
        <is>
          <t>区域</t>
        </is>
      </c>
      <c r="B2" s="28" t="inlineStr">
        <is>
          <t>中心</t>
        </is>
      </c>
      <c r="C2" s="28" t="inlineStr">
        <is>
          <t>是否签到</t>
        </is>
      </c>
      <c r="D2" s="29" t="inlineStr">
        <is>
          <t>2026年</t>
        </is>
      </c>
      <c r="E2" s="30" t="inlineStr">
        <is>
          <t>特殊情况</t>
        </is>
      </c>
      <c r="G2" s="22" t="inlineStr">
        <is>
          <t>中心总数</t>
        </is>
      </c>
      <c r="H2" s="24">
        <f>SUM(H3:H107)</f>
        <v/>
      </c>
      <c r="J2" s="22" t="inlineStr">
        <is>
          <t>中心总数(排除新中心）</t>
        </is>
      </c>
      <c r="K2" s="24">
        <f>SUM(K3:K107)</f>
        <v/>
      </c>
    </row>
    <row customHeight="1" ht="16.5" r="3" s="53">
      <c r="A3" s="31" t="inlineStr">
        <is>
          <t>华南一区</t>
        </is>
      </c>
      <c r="B3" s="32" t="inlineStr">
        <is>
          <t>深圳南山南油中心</t>
        </is>
      </c>
      <c r="C3" s="32" t="inlineStr">
        <is>
          <t>是</t>
        </is>
      </c>
      <c r="D3" s="33" t="n"/>
      <c r="E3" s="29" t="n"/>
      <c r="G3" s="31" t="inlineStr">
        <is>
          <t>华南一区</t>
        </is>
      </c>
      <c r="H3" s="23">
        <f>COUNTIF($A:$A,$G3)</f>
        <v/>
      </c>
      <c r="J3" s="31" t="inlineStr">
        <is>
          <t>华南一区</t>
        </is>
      </c>
      <c r="K3" s="23">
        <f>COUNTIFS($A:$A,$G3,$C:$C,"&lt;&gt;新中心")</f>
        <v/>
      </c>
      <c r="L3" s="34" t="inlineStr">
        <is>
          <t>华南</t>
        </is>
      </c>
      <c r="M3" s="35">
        <f>SUM(K3:K6)</f>
        <v/>
      </c>
    </row>
    <row customHeight="1" ht="16.5" r="4" s="53">
      <c r="A4" s="31" t="inlineStr">
        <is>
          <t>华南一区</t>
        </is>
      </c>
      <c r="B4" s="32" t="inlineStr">
        <is>
          <t>深圳龙岗龙城中心</t>
        </is>
      </c>
      <c r="C4" s="32" t="inlineStr">
        <is>
          <t>是</t>
        </is>
      </c>
      <c r="D4" s="36" t="inlineStr">
        <is>
          <t>累计未发1次</t>
        </is>
      </c>
      <c r="G4" s="31" t="inlineStr">
        <is>
          <t>华南二区</t>
        </is>
      </c>
      <c r="H4" s="23">
        <f>COUNTIF($A:$A,$G4)</f>
        <v/>
      </c>
      <c r="J4" s="31" t="inlineStr">
        <is>
          <t>华南二区</t>
        </is>
      </c>
      <c r="K4" s="23">
        <f>COUNTIFS($A:$A,$G4,$C:$C,"&lt;&gt;新中心")</f>
        <v/>
      </c>
      <c r="L4" s="34" t="inlineStr">
        <is>
          <t>华东</t>
        </is>
      </c>
      <c r="M4" s="35">
        <f>SUM(K7:K10)</f>
        <v/>
      </c>
    </row>
    <row customHeight="1" ht="16.5" r="5" s="53">
      <c r="A5" s="37" t="inlineStr">
        <is>
          <t>华南一区</t>
        </is>
      </c>
      <c r="B5" s="38" t="inlineStr">
        <is>
          <t>深圳宝安中心</t>
        </is>
      </c>
      <c r="C5" s="38" t="inlineStr">
        <is>
          <t>是</t>
        </is>
      </c>
      <c r="D5" s="29" t="inlineStr">
        <is>
          <t>累计未发2次，迟发1次</t>
        </is>
      </c>
      <c r="G5" s="31" t="inlineStr">
        <is>
          <t>华南三区</t>
        </is>
      </c>
      <c r="H5" s="23">
        <f>COUNTIF($A:$A,$G5)</f>
        <v/>
      </c>
      <c r="J5" s="31" t="inlineStr">
        <is>
          <t>华南三区</t>
        </is>
      </c>
      <c r="K5" s="23">
        <f>COUNTIFS($A:$A,$G5,$C:$C,"&lt;&gt;新中心")</f>
        <v/>
      </c>
      <c r="L5" s="34" t="inlineStr">
        <is>
          <t>华北</t>
        </is>
      </c>
      <c r="M5" s="35">
        <f>SUM(K11:K12)</f>
        <v/>
      </c>
    </row>
    <row customHeight="1" ht="16.5" r="6" s="53">
      <c r="A6" s="37" t="inlineStr">
        <is>
          <t>华南一区</t>
        </is>
      </c>
      <c r="B6" s="38" t="inlineStr">
        <is>
          <t>深圳光明中心</t>
        </is>
      </c>
      <c r="C6" s="38" t="inlineStr">
        <is>
          <t>是</t>
        </is>
      </c>
      <c r="D6" s="29" t="inlineStr">
        <is>
          <t>累计未发4次</t>
        </is>
      </c>
      <c r="G6" s="31" t="inlineStr">
        <is>
          <t>华南四区</t>
        </is>
      </c>
      <c r="H6" s="23">
        <f>COUNTIF($A:$A,$G6)</f>
        <v/>
      </c>
      <c r="J6" s="31" t="inlineStr">
        <is>
          <t>华南四区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customHeight="1" ht="16.5" r="7" s="53">
      <c r="A7" s="37" t="inlineStr">
        <is>
          <t>华南一区</t>
        </is>
      </c>
      <c r="B7" s="38" t="inlineStr">
        <is>
          <t>深圳福田中心</t>
        </is>
      </c>
      <c r="C7" s="38" t="inlineStr">
        <is>
          <t>是</t>
        </is>
      </c>
      <c r="D7" s="33" t="inlineStr">
        <is>
          <t>累计未发1次，迟发2次</t>
        </is>
      </c>
      <c r="G7" s="31" t="inlineStr">
        <is>
          <t>华东一区</t>
        </is>
      </c>
      <c r="H7" s="23">
        <f>COUNTIF($A:$A,$G7)</f>
        <v/>
      </c>
      <c r="J7" s="31" t="inlineStr">
        <is>
          <t>华东一区</t>
        </is>
      </c>
      <c r="K7" s="23">
        <f>COUNTIFS($A:$A,$G7,$C:$C,"&lt;&gt;新中心")</f>
        <v/>
      </c>
      <c r="L7" s="34" t="n"/>
      <c r="M7" s="35" t="n"/>
    </row>
    <row customHeight="1" ht="16.5" r="8" s="53">
      <c r="A8" s="31" t="inlineStr">
        <is>
          <t>华南二区</t>
        </is>
      </c>
      <c r="B8" s="32" t="inlineStr">
        <is>
          <t>深圳坂田杨美中心</t>
        </is>
      </c>
      <c r="C8" s="32" t="inlineStr">
        <is>
          <t>是</t>
        </is>
      </c>
      <c r="G8" s="31" t="inlineStr">
        <is>
          <t>华东二区</t>
        </is>
      </c>
      <c r="H8" s="23">
        <f>COUNTIF($A:$A,$G8)</f>
        <v/>
      </c>
      <c r="J8" s="31" t="inlineStr">
        <is>
          <t>华东二区</t>
        </is>
      </c>
      <c r="K8" s="23">
        <f>COUNTIFS($A:$A,$G8,$C:$C,"&lt;&gt;新中心")</f>
        <v/>
      </c>
    </row>
    <row customHeight="1" ht="16.5" r="9" s="53">
      <c r="A9" s="31" t="inlineStr">
        <is>
          <t>华南二区</t>
        </is>
      </c>
      <c r="B9" s="32" t="inlineStr">
        <is>
          <t>深圳龙华民治中心</t>
        </is>
      </c>
      <c r="C9" s="32" t="inlineStr">
        <is>
          <t>是</t>
        </is>
      </c>
      <c r="D9" s="29" t="inlineStr">
        <is>
          <t>累计迟发1次</t>
        </is>
      </c>
      <c r="G9" s="31" t="inlineStr">
        <is>
          <t>华东三区</t>
        </is>
      </c>
      <c r="H9" s="23">
        <f>COUNTIF($A:$A,$G9)</f>
        <v/>
      </c>
      <c r="J9" s="31" t="inlineStr">
        <is>
          <t>华东三区</t>
        </is>
      </c>
      <c r="K9" s="23">
        <f>COUNTIFS($A:$A,$G9,$C:$C,"&lt;&gt;新中心")</f>
        <v/>
      </c>
    </row>
    <row customHeight="1" ht="16.5" r="10" s="53">
      <c r="A10" s="31" t="inlineStr">
        <is>
          <t>华南二区</t>
        </is>
      </c>
      <c r="B10" s="32" t="inlineStr">
        <is>
          <t>泉州晋江中心</t>
        </is>
      </c>
      <c r="C10" s="32" t="inlineStr">
        <is>
          <t>是</t>
        </is>
      </c>
      <c r="D10" s="33" t="n"/>
      <c r="G10" s="31" t="inlineStr">
        <is>
          <t>华东四区</t>
        </is>
      </c>
      <c r="H10" s="23">
        <f>COUNTIF($A:$A,$G10)</f>
        <v/>
      </c>
      <c r="J10" s="31" t="inlineStr">
        <is>
          <t>华东四区</t>
        </is>
      </c>
      <c r="K10" s="23">
        <f>COUNTIFS($A:$A,$G10,$C:$C,"&lt;&gt;新中心")</f>
        <v/>
      </c>
    </row>
    <row customHeight="1" ht="16.5" r="11" s="53">
      <c r="A11" s="31" t="inlineStr">
        <is>
          <t>华南三区</t>
        </is>
      </c>
      <c r="B11" s="32" t="inlineStr">
        <is>
          <t>广州盈丰中心</t>
        </is>
      </c>
      <c r="C11" s="32" t="inlineStr">
        <is>
          <t>是</t>
        </is>
      </c>
      <c r="D11" s="36" t="n"/>
      <c r="G11" s="31" t="inlineStr">
        <is>
          <t>华北一区</t>
        </is>
      </c>
      <c r="H11" s="23">
        <f>COUNTIF($A:$A,$G11)</f>
        <v/>
      </c>
      <c r="J11" s="31" t="inlineStr">
        <is>
          <t>华北一区</t>
        </is>
      </c>
      <c r="K11" s="23">
        <f>COUNTIFS($A:$A,$G11,$C:$C,"&lt;&gt;新中心")</f>
        <v/>
      </c>
    </row>
    <row customHeight="1" ht="16.5" r="12" s="53">
      <c r="A12" s="31" t="inlineStr">
        <is>
          <t>华南三区</t>
        </is>
      </c>
      <c r="B12" s="32" t="inlineStr">
        <is>
          <t>广州岗顶中心</t>
        </is>
      </c>
      <c r="C12" s="32" t="inlineStr">
        <is>
          <t>是</t>
        </is>
      </c>
      <c r="D12" s="39" t="n"/>
      <c r="G12" s="31" t="inlineStr">
        <is>
          <t>华北二区</t>
        </is>
      </c>
      <c r="H12" s="23">
        <f>COUNTIF($A:$A,$G12)</f>
        <v/>
      </c>
      <c r="J12" s="31" t="inlineStr">
        <is>
          <t>华北二区</t>
        </is>
      </c>
      <c r="K12" s="23">
        <f>COUNTIFS($A:$A,$G12,$C:$C,"&lt;&gt;新中心")</f>
        <v/>
      </c>
    </row>
    <row customHeight="1" ht="16.5" r="13" s="53">
      <c r="A13" s="31" t="inlineStr">
        <is>
          <t>华南三区</t>
        </is>
      </c>
      <c r="B13" s="32" t="inlineStr">
        <is>
          <t>广州白云中心</t>
        </is>
      </c>
      <c r="C13" s="32" t="inlineStr">
        <is>
          <t>是</t>
        </is>
      </c>
      <c r="D13" s="33" t="inlineStr">
        <is>
          <t>累计未发4次</t>
        </is>
      </c>
      <c r="E13" s="33" t="n"/>
      <c r="G13" s="31" t="inlineStr">
        <is>
          <t>华中区</t>
        </is>
      </c>
      <c r="H13" s="23">
        <f>COUNTIF($A:$A,$G13)</f>
        <v/>
      </c>
      <c r="J13" s="31" t="inlineStr">
        <is>
          <t>西南区</t>
        </is>
      </c>
      <c r="K13" s="23">
        <f>COUNTIFS($A:$A,$G14,$C:$C,"&lt;&gt;新中心")</f>
        <v/>
      </c>
    </row>
    <row customHeight="1" ht="16.5" r="14" s="53">
      <c r="A14" s="31" t="inlineStr">
        <is>
          <t>华南三区</t>
        </is>
      </c>
      <c r="B14" s="32" t="inlineStr">
        <is>
          <t>佛山禅城中心</t>
        </is>
      </c>
      <c r="C14" s="32" t="inlineStr">
        <is>
          <t>是</t>
        </is>
      </c>
      <c r="D14" s="33" t="inlineStr">
        <is>
          <t>累计未发1次</t>
        </is>
      </c>
      <c r="G14" s="31" t="inlineStr">
        <is>
          <t>西南区</t>
        </is>
      </c>
      <c r="H14" s="23">
        <f>COUNTIF($A:$A,$G14)</f>
        <v/>
      </c>
    </row>
    <row customHeight="1" ht="16.5" r="15" s="53">
      <c r="A15" s="31" t="inlineStr">
        <is>
          <t>华南三区</t>
        </is>
      </c>
      <c r="B15" s="32" t="inlineStr">
        <is>
          <t>广州米声中心</t>
        </is>
      </c>
      <c r="C15" s="32" t="inlineStr">
        <is>
          <t>是</t>
        </is>
      </c>
      <c r="D15" s="33" t="inlineStr">
        <is>
          <t>累计未发2次，迟发1次</t>
        </is>
      </c>
    </row>
    <row customHeight="1" ht="16.5" r="16" s="53">
      <c r="A16" s="31" t="inlineStr">
        <is>
          <t>华南四区</t>
        </is>
      </c>
      <c r="B16" s="32" t="inlineStr">
        <is>
          <t>广州番禺中心</t>
        </is>
      </c>
      <c r="C16" s="32" t="inlineStr">
        <is>
          <t>是</t>
        </is>
      </c>
    </row>
    <row customHeight="1" ht="16.5" r="17" s="53">
      <c r="A17" s="31" t="inlineStr">
        <is>
          <t>华南四区</t>
        </is>
      </c>
      <c r="B17" s="32" t="inlineStr">
        <is>
          <t>广州黄埔中心</t>
        </is>
      </c>
      <c r="C17" s="32" t="inlineStr">
        <is>
          <t>是</t>
        </is>
      </c>
    </row>
    <row customHeight="1" ht="16.5" r="18" s="53">
      <c r="A18" s="31" t="inlineStr">
        <is>
          <t>华南四区</t>
        </is>
      </c>
      <c r="B18" s="32" t="inlineStr">
        <is>
          <t>东莞南城中心</t>
        </is>
      </c>
      <c r="C18" s="32" t="inlineStr">
        <is>
          <t>是</t>
        </is>
      </c>
      <c r="D18" s="29" t="inlineStr">
        <is>
          <t>累计未发1次</t>
        </is>
      </c>
    </row>
    <row customHeight="1" ht="16.5" r="19" s="53">
      <c r="A19" s="31" t="inlineStr">
        <is>
          <t>华东一区</t>
        </is>
      </c>
      <c r="B19" s="40" t="inlineStr">
        <is>
          <t>上海李子园中心</t>
        </is>
      </c>
      <c r="C19" s="32" t="inlineStr">
        <is>
          <t>是</t>
        </is>
      </c>
    </row>
    <row customHeight="1" ht="16.5" r="20" s="53">
      <c r="A20" s="31" t="inlineStr">
        <is>
          <t>华东一区</t>
        </is>
      </c>
      <c r="B20" s="32" t="inlineStr">
        <is>
          <t>上海宝山中心</t>
        </is>
      </c>
      <c r="C20" s="32" t="inlineStr">
        <is>
          <t>是</t>
        </is>
      </c>
      <c r="D20" s="39" t="n"/>
    </row>
    <row customHeight="1" ht="16.5" r="21" s="53">
      <c r="A21" s="31" t="inlineStr">
        <is>
          <t>华东一区</t>
        </is>
      </c>
      <c r="B21" s="32" t="inlineStr">
        <is>
          <t>上海松江中心</t>
        </is>
      </c>
      <c r="C21" s="32" t="inlineStr">
        <is>
          <t>是</t>
        </is>
      </c>
      <c r="D21" s="33" t="inlineStr">
        <is>
          <t>累计未发1次，迟发2次</t>
        </is>
      </c>
    </row>
    <row customHeight="1" ht="16.5" r="22" s="53">
      <c r="A22" s="31" t="inlineStr">
        <is>
          <t>华东一区</t>
        </is>
      </c>
      <c r="B22" s="32" t="inlineStr">
        <is>
          <t>上海香樟园中心</t>
        </is>
      </c>
      <c r="C22" s="32" t="inlineStr">
        <is>
          <t>是</t>
        </is>
      </c>
      <c r="D22" s="57" t="inlineStr">
        <is>
          <t>累计未发1次</t>
        </is>
      </c>
    </row>
    <row customHeight="1" ht="16.5" r="23" s="53">
      <c r="A23" s="31" t="inlineStr">
        <is>
          <t>华东一区</t>
        </is>
      </c>
      <c r="B23" s="32" t="inlineStr">
        <is>
          <t>苏州中心</t>
        </is>
      </c>
      <c r="C23" s="42" t="inlineStr">
        <is>
          <t>是</t>
        </is>
      </c>
      <c r="D23" s="29" t="inlineStr">
        <is>
          <t>累计未发1次</t>
        </is>
      </c>
    </row>
    <row customHeight="1" ht="16.5" r="24" s="53">
      <c r="A24" s="31" t="inlineStr">
        <is>
          <t>华东二区</t>
        </is>
      </c>
      <c r="B24" s="32" t="inlineStr">
        <is>
          <t>上海浦东中心</t>
        </is>
      </c>
      <c r="C24" s="42" t="inlineStr">
        <is>
          <t>是</t>
        </is>
      </c>
      <c r="D24" s="36" t="inlineStr">
        <is>
          <t>累计迟发1次</t>
        </is>
      </c>
    </row>
    <row customHeight="1" ht="16.5" r="25" s="53">
      <c r="A25" s="31" t="inlineStr">
        <is>
          <t>华东二区</t>
        </is>
      </c>
      <c r="B25" s="32" t="inlineStr">
        <is>
          <t>无锡中心</t>
        </is>
      </c>
      <c r="C25" s="42" t="inlineStr">
        <is>
          <t>是</t>
        </is>
      </c>
      <c r="D25" s="36" t="n"/>
    </row>
    <row customHeight="1" ht="16.5" r="26" s="53">
      <c r="A26" s="31" t="inlineStr">
        <is>
          <t>华东二区</t>
        </is>
      </c>
      <c r="B26" s="32" t="inlineStr">
        <is>
          <t>常州中心</t>
        </is>
      </c>
      <c r="C26" s="42" t="inlineStr">
        <is>
          <t>是</t>
        </is>
      </c>
      <c r="D26" s="33" t="n"/>
    </row>
    <row customHeight="1" ht="16.5" r="27" s="53">
      <c r="A27" s="31" t="inlineStr">
        <is>
          <t>华东三区</t>
        </is>
      </c>
      <c r="B27" s="32" t="inlineStr">
        <is>
          <t>南京新街口中心</t>
        </is>
      </c>
      <c r="C27" s="42" t="inlineStr">
        <is>
          <t>是</t>
        </is>
      </c>
      <c r="D27" s="29" t="inlineStr">
        <is>
          <t>累计未发4次，迟发1次</t>
        </is>
      </c>
    </row>
    <row customHeight="1" ht="16.5" r="28" s="53">
      <c r="A28" s="31" t="inlineStr">
        <is>
          <t>华东三区</t>
        </is>
      </c>
      <c r="B28" s="43" t="inlineStr">
        <is>
          <t>南京软件谷中心</t>
        </is>
      </c>
      <c r="C28" s="42" t="inlineStr">
        <is>
          <t>是</t>
        </is>
      </c>
      <c r="D28" s="36" t="inlineStr">
        <is>
          <t>累计未发1次</t>
        </is>
      </c>
    </row>
    <row customHeight="1" ht="16.5" r="29" s="53">
      <c r="A29" s="31" t="inlineStr">
        <is>
          <t>华东三区</t>
        </is>
      </c>
      <c r="B29" s="44" t="inlineStr">
        <is>
          <t>南京浦口中心</t>
        </is>
      </c>
      <c r="C29" s="45" t="inlineStr">
        <is>
          <t>是</t>
        </is>
      </c>
      <c r="D29" s="46" t="inlineStr">
        <is>
          <t>累计未发1次</t>
        </is>
      </c>
    </row>
    <row customHeight="1" ht="16.5" r="30" s="53">
      <c r="A30" s="31" t="inlineStr">
        <is>
          <t>华东四区</t>
        </is>
      </c>
      <c r="B30" s="32" t="inlineStr">
        <is>
          <t>杭州花园岗中心</t>
        </is>
      </c>
      <c r="C30" s="42" t="inlineStr">
        <is>
          <t>是</t>
        </is>
      </c>
      <c r="D30" s="36" t="inlineStr">
        <is>
          <t>累计迟发2次</t>
        </is>
      </c>
    </row>
    <row customHeight="1" ht="16.5" r="31" s="53">
      <c r="A31" s="31" t="inlineStr">
        <is>
          <t>华东四区</t>
        </is>
      </c>
      <c r="B31" s="44" t="inlineStr">
        <is>
          <t>杭州上城中心</t>
        </is>
      </c>
      <c r="C31" s="45" t="inlineStr">
        <is>
          <t>是</t>
        </is>
      </c>
      <c r="D31" s="46" t="inlineStr">
        <is>
          <t>累计未发3次，迟发3次</t>
        </is>
      </c>
    </row>
    <row customHeight="1" ht="16.5" r="32" s="53">
      <c r="A32" s="31" t="inlineStr">
        <is>
          <t>华东四区</t>
        </is>
      </c>
      <c r="B32" s="32" t="inlineStr">
        <is>
          <t>杭州滨江中心</t>
        </is>
      </c>
      <c r="C32" s="42" t="inlineStr">
        <is>
          <t>是</t>
        </is>
      </c>
      <c r="D32" s="36" t="inlineStr">
        <is>
          <t>累计未发3次，迟发2次</t>
        </is>
      </c>
      <c r="E32" s="30" t="inlineStr">
        <is>
          <t>请病假4天</t>
        </is>
      </c>
    </row>
    <row customHeight="1" ht="16.5" r="33" s="53">
      <c r="A33" s="31" t="inlineStr">
        <is>
          <t>华东四区</t>
        </is>
      </c>
      <c r="B33" s="32" t="inlineStr">
        <is>
          <t>宁波鄞州中心</t>
        </is>
      </c>
      <c r="C33" s="42" t="inlineStr">
        <is>
          <t>是</t>
        </is>
      </c>
      <c r="D33" s="39" t="inlineStr">
        <is>
          <t>累计未发2次，迟发1次</t>
        </is>
      </c>
    </row>
    <row customHeight="1" ht="16.5" r="34" s="53">
      <c r="A34" s="31" t="inlineStr">
        <is>
          <t>华东四区</t>
        </is>
      </c>
      <c r="B34" s="32" t="inlineStr">
        <is>
          <t>合肥蜀山中心</t>
        </is>
      </c>
      <c r="C34" s="42" t="inlineStr">
        <is>
          <t>是</t>
        </is>
      </c>
      <c r="D34" s="36" t="inlineStr">
        <is>
          <t>累计未发2次，迟发4次</t>
        </is>
      </c>
    </row>
    <row customHeight="1" ht="16.5" r="35" s="53">
      <c r="A35" s="31" t="inlineStr">
        <is>
          <t>华北一区</t>
        </is>
      </c>
      <c r="B35" s="32" t="inlineStr">
        <is>
          <t>北京双桥中心</t>
        </is>
      </c>
      <c r="C35" s="42" t="inlineStr">
        <is>
          <t>是</t>
        </is>
      </c>
      <c r="D35" s="33" t="inlineStr">
        <is>
          <t>累计未发2次，迟发1次</t>
        </is>
      </c>
    </row>
    <row customHeight="1" ht="16.5" r="36" s="53">
      <c r="A36" s="31" t="inlineStr">
        <is>
          <t>华北一区</t>
        </is>
      </c>
      <c r="B36" s="32" t="inlineStr">
        <is>
          <t>北京方庄中心</t>
        </is>
      </c>
      <c r="C36" s="42" t="inlineStr">
        <is>
          <t>是</t>
        </is>
      </c>
      <c r="D36" s="33" t="inlineStr">
        <is>
          <t>累计未发1次，迟发2次</t>
        </is>
      </c>
    </row>
    <row customHeight="1" ht="16.5" r="37" s="53">
      <c r="A37" s="31" t="inlineStr">
        <is>
          <t>华北一区</t>
        </is>
      </c>
      <c r="B37" s="32" t="inlineStr">
        <is>
          <t>郑州金水中心</t>
        </is>
      </c>
      <c r="C37" s="42" t="inlineStr">
        <is>
          <t>是</t>
        </is>
      </c>
      <c r="D37" s="29" t="inlineStr">
        <is>
          <t>累计未发1次</t>
        </is>
      </c>
    </row>
    <row customHeight="1" ht="16.5" r="38" s="53">
      <c r="A38" s="31" t="inlineStr">
        <is>
          <t>华北一区</t>
        </is>
      </c>
      <c r="B38" s="32" t="inlineStr">
        <is>
          <t>郑州二七中心</t>
        </is>
      </c>
      <c r="C38" s="42" t="inlineStr">
        <is>
          <t>是</t>
        </is>
      </c>
      <c r="D38" s="36" t="inlineStr">
        <is>
          <t>累计未发3次</t>
        </is>
      </c>
    </row>
    <row customHeight="1" ht="16.5" r="39" s="53">
      <c r="A39" s="31" t="inlineStr">
        <is>
          <t>华北一区</t>
        </is>
      </c>
      <c r="B39" s="32" t="inlineStr">
        <is>
          <t>天津中心</t>
        </is>
      </c>
      <c r="C39" s="42" t="inlineStr">
        <is>
          <t>是</t>
        </is>
      </c>
    </row>
    <row customHeight="1" ht="16.5" r="40" s="53">
      <c r="A40" s="31" t="inlineStr">
        <is>
          <t>华北一区</t>
        </is>
      </c>
      <c r="B40" s="32" t="inlineStr">
        <is>
          <t>西安莲湖中心</t>
        </is>
      </c>
      <c r="C40" s="42" t="inlineStr">
        <is>
          <t>是</t>
        </is>
      </c>
      <c r="D40" s="29" t="inlineStr">
        <is>
          <t>累计未发1次</t>
        </is>
      </c>
    </row>
    <row customHeight="1" ht="16.5" r="41" s="53">
      <c r="A41" s="31" t="inlineStr">
        <is>
          <t>华北一区</t>
        </is>
      </c>
      <c r="B41" s="47" t="inlineStr">
        <is>
          <t>西安曲江中心</t>
        </is>
      </c>
      <c r="C41" s="42" t="inlineStr">
        <is>
          <t>是</t>
        </is>
      </c>
      <c r="D41" s="46" t="n"/>
    </row>
    <row customHeight="1" ht="16.5" r="42" s="53">
      <c r="A42" s="31" t="inlineStr">
        <is>
          <t>华北一区</t>
        </is>
      </c>
      <c r="B42" s="47" t="inlineStr">
        <is>
          <t>西安未央中心</t>
        </is>
      </c>
      <c r="C42" s="42" t="inlineStr">
        <is>
          <t>是</t>
        </is>
      </c>
      <c r="D42" s="46" t="inlineStr">
        <is>
          <t>累计未发1次</t>
        </is>
      </c>
    </row>
    <row customHeight="1" ht="16.5" r="43" s="53">
      <c r="A43" s="31" t="inlineStr">
        <is>
          <t>华北一区</t>
        </is>
      </c>
      <c r="B43" s="44" t="inlineStr">
        <is>
          <t>济南省体中心</t>
        </is>
      </c>
      <c r="C43" s="42" t="inlineStr">
        <is>
          <t>是</t>
        </is>
      </c>
      <c r="D43" s="46" t="n"/>
    </row>
    <row customHeight="1" ht="16.5" r="44" s="53">
      <c r="A44" s="31" t="inlineStr">
        <is>
          <t>华北一区</t>
        </is>
      </c>
      <c r="B44" s="44" t="inlineStr">
        <is>
          <t>北京通州中心</t>
        </is>
      </c>
      <c r="C44" s="42" t="inlineStr">
        <is>
          <t>是</t>
        </is>
      </c>
      <c r="E44" s="46" t="n"/>
    </row>
    <row customHeight="1" ht="16.5" r="45" s="53">
      <c r="A45" s="31" t="inlineStr">
        <is>
          <t>华北一区</t>
        </is>
      </c>
      <c r="B45" s="48" t="inlineStr">
        <is>
          <t>北京房山中心</t>
        </is>
      </c>
      <c r="C45" s="42" t="inlineStr">
        <is>
          <t>是</t>
        </is>
      </c>
      <c r="D45" s="46" t="inlineStr">
        <is>
          <t>累计迟发2次</t>
        </is>
      </c>
    </row>
    <row customHeight="1" ht="16.5" r="46" s="53">
      <c r="A46" s="31" t="inlineStr">
        <is>
          <t>华北二区</t>
        </is>
      </c>
      <c r="B46" s="32" t="inlineStr">
        <is>
          <t>北京望京中心</t>
        </is>
      </c>
      <c r="C46" s="42" t="inlineStr">
        <is>
          <t>是</t>
        </is>
      </c>
      <c r="D46" s="46" t="inlineStr">
        <is>
          <t>累计迟发1次</t>
        </is>
      </c>
    </row>
    <row customHeight="1" ht="16.5" r="47" s="53">
      <c r="A47" s="31" t="inlineStr">
        <is>
          <t>华北二区</t>
        </is>
      </c>
      <c r="B47" s="32" t="inlineStr">
        <is>
          <t>北京海淀中心</t>
        </is>
      </c>
      <c r="C47" s="42" t="inlineStr">
        <is>
          <t>是</t>
        </is>
      </c>
      <c r="D47" s="46" t="inlineStr">
        <is>
          <t>累计迟发2次</t>
        </is>
      </c>
    </row>
    <row customHeight="1" ht="16.5" r="48" s="53">
      <c r="A48" s="31" t="inlineStr">
        <is>
          <t>华北二区</t>
        </is>
      </c>
      <c r="B48" s="32" t="inlineStr">
        <is>
          <t>北京万柳中心</t>
        </is>
      </c>
      <c r="C48" s="42" t="inlineStr">
        <is>
          <t>是</t>
        </is>
      </c>
      <c r="D48" s="36" t="n"/>
    </row>
    <row customHeight="1" ht="16.5" r="49" s="53">
      <c r="A49" s="31" t="inlineStr">
        <is>
          <t>华北二区</t>
        </is>
      </c>
      <c r="B49" s="44" t="inlineStr">
        <is>
          <t>石家庄桥西中心</t>
        </is>
      </c>
      <c r="C49" s="42" t="inlineStr">
        <is>
          <t>是</t>
        </is>
      </c>
      <c r="D49" s="46" t="inlineStr">
        <is>
          <t>累计迟发1次</t>
        </is>
      </c>
    </row>
    <row customHeight="1" ht="16.5" r="50" s="53">
      <c r="A50" s="31" t="inlineStr">
        <is>
          <t>西南区</t>
        </is>
      </c>
      <c r="B50" s="32" t="inlineStr">
        <is>
          <t>成都高新中心</t>
        </is>
      </c>
      <c r="C50" s="42" t="inlineStr">
        <is>
          <t>是</t>
        </is>
      </c>
      <c r="D50" s="36" t="inlineStr">
        <is>
          <t>累计未发1次</t>
        </is>
      </c>
      <c r="E50" s="49" t="n"/>
    </row>
    <row customHeight="1" ht="16.5" r="51" s="53">
      <c r="A51" s="31" t="inlineStr">
        <is>
          <t>西南区</t>
        </is>
      </c>
      <c r="B51" s="32" t="inlineStr">
        <is>
          <t>成都武侯中心</t>
        </is>
      </c>
      <c r="C51" s="42" t="inlineStr">
        <is>
          <t>是</t>
        </is>
      </c>
      <c r="D51" s="33" t="inlineStr">
        <is>
          <t>累计未发1次</t>
        </is>
      </c>
    </row>
    <row customHeight="1" ht="16.5" r="52" s="53">
      <c r="A52" s="31" t="inlineStr">
        <is>
          <t>西南区</t>
        </is>
      </c>
      <c r="B52" s="32" t="inlineStr">
        <is>
          <t>重庆渝北中心</t>
        </is>
      </c>
      <c r="C52" s="42" t="inlineStr">
        <is>
          <t>是</t>
        </is>
      </c>
      <c r="D52" s="29" t="inlineStr">
        <is>
          <t>累计未发1次，迟发2次</t>
        </is>
      </c>
    </row>
    <row customHeight="1" ht="16" r="53" s="53">
      <c r="A53" s="37" t="inlineStr">
        <is>
          <t>华南二区</t>
        </is>
      </c>
      <c r="B53" s="38" t="inlineStr">
        <is>
          <t>厦门思明中心</t>
        </is>
      </c>
      <c r="C53" s="50" t="inlineStr">
        <is>
          <t>是</t>
        </is>
      </c>
      <c r="D53" s="33" t="inlineStr">
        <is>
          <t>累计迟发1次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2025月报">
    <outlinePr summaryBelow="0" summaryRight="0"/>
    <pageSetUpPr/>
  </sheetPr>
  <dimension ref="A1:T207"/>
  <sheetViews>
    <sheetView workbookViewId="0">
      <pane activePane="bottomRight" state="frozen" topLeftCell="C3" xSplit="2" ySplit="2"/>
      <selection activeCell="A1" pane="topRight" sqref="A1"/>
      <selection activeCell="A1" pane="bottomLeft" sqref="A1"/>
      <selection activeCell="C3" pane="bottomRight" sqref="C3"/>
    </sheetView>
  </sheetViews>
  <sheetFormatPr baseColWidth="10" defaultRowHeight="16"/>
  <cols>
    <col customWidth="1" max="1" min="1" style="53" width="6.33203125"/>
    <col customWidth="1" max="2" min="2" style="53" width="11.83203125"/>
    <col customWidth="1" max="5" min="3" style="17" width="3.1640625"/>
    <col customWidth="1" max="11" min="6" style="53" width="3.1640625"/>
    <col customWidth="1" max="14" min="12" style="53" width="3.83203125"/>
    <col customWidth="1" max="15" min="15" style="53" width="3.6640625"/>
    <col customWidth="1" max="19" min="19" style="53" width="7.6640625"/>
    <col customWidth="1" max="20" min="20" style="53" width="2.83203125"/>
  </cols>
  <sheetData>
    <row customHeight="1" ht="22.5" r="1" s="53">
      <c r="A1" s="54" t="inlineStr">
        <is>
          <t>2025未填写月报次数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6" t="n"/>
      <c r="S1" s="1" t="n"/>
      <c r="T1" s="2" t="n"/>
    </row>
    <row customHeight="1" ht="16.5" r="2" s="53">
      <c r="A2" s="3" t="inlineStr">
        <is>
          <t>区域</t>
        </is>
      </c>
      <c r="B2" s="3" t="inlineStr">
        <is>
          <t>中心</t>
        </is>
      </c>
      <c r="C2" s="4" t="inlineStr">
        <is>
          <t>1月</t>
        </is>
      </c>
      <c r="D2" s="4" t="inlineStr">
        <is>
          <t>2月</t>
        </is>
      </c>
      <c r="E2" s="5" t="inlineStr">
        <is>
          <t>3月</t>
        </is>
      </c>
      <c r="F2" s="4" t="inlineStr">
        <is>
          <t>4月</t>
        </is>
      </c>
      <c r="G2" s="4" t="inlineStr">
        <is>
          <t>5月</t>
        </is>
      </c>
      <c r="H2" s="4" t="inlineStr">
        <is>
          <t>6月</t>
        </is>
      </c>
      <c r="I2" s="4" t="inlineStr">
        <is>
          <t>7月</t>
        </is>
      </c>
      <c r="J2" s="4" t="inlineStr">
        <is>
          <t>8月</t>
        </is>
      </c>
      <c r="K2" s="4" t="inlineStr">
        <is>
          <t>9月</t>
        </is>
      </c>
      <c r="L2" s="4" t="inlineStr">
        <is>
          <t>10月</t>
        </is>
      </c>
      <c r="M2" s="4" t="inlineStr">
        <is>
          <t>11月</t>
        </is>
      </c>
      <c r="N2" s="4" t="inlineStr">
        <is>
          <t>12月</t>
        </is>
      </c>
      <c r="O2" s="4" t="inlineStr">
        <is>
          <t>总计</t>
        </is>
      </c>
      <c r="S2" s="6" t="inlineStr">
        <is>
          <t>中心总数</t>
        </is>
      </c>
      <c r="T2" s="7">
        <f>SUM(T3:T108)</f>
        <v/>
      </c>
    </row>
    <row customHeight="1" ht="16.5" r="3" s="53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>
        <v>1</v>
      </c>
      <c r="F3" s="9" t="n">
        <v>1</v>
      </c>
      <c r="G3" s="9" t="n">
        <v>1</v>
      </c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</row>
    <row customHeight="1" ht="16.5" r="4" s="53">
      <c r="A4" s="8" t="inlineStr">
        <is>
          <t>华南一区</t>
        </is>
      </c>
      <c r="B4" s="8" t="inlineStr">
        <is>
          <t>深圳龙岗龙城中心</t>
        </is>
      </c>
      <c r="C4" s="9" t="n">
        <v>1</v>
      </c>
      <c r="D4" s="13" t="n"/>
      <c r="E4" s="13" t="n"/>
      <c r="F4" s="9" t="n">
        <v>1</v>
      </c>
      <c r="G4" s="9" t="n">
        <v>1</v>
      </c>
      <c r="H4" s="10" t="n"/>
      <c r="I4" s="9" t="n">
        <v>1</v>
      </c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customHeight="1" ht="16.5" r="5" s="53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</row>
    <row customHeight="1" ht="16.5" r="6" s="53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>
        <v>1</v>
      </c>
      <c r="F6" s="9" t="n">
        <v>1</v>
      </c>
      <c r="G6" s="9" t="n">
        <v>1</v>
      </c>
      <c r="H6" s="9" t="n">
        <v>1</v>
      </c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</row>
    <row customHeight="1" ht="16.5" r="7" s="53">
      <c r="A7" s="8" t="inlineStr">
        <is>
          <t>华南二区</t>
        </is>
      </c>
      <c r="B7" s="8" t="inlineStr">
        <is>
          <t>深圳坂田杨美中心</t>
        </is>
      </c>
      <c r="C7" s="9" t="n">
        <v>1</v>
      </c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</row>
    <row customHeight="1" ht="16.5" r="8" s="53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华东三区</t>
        </is>
      </c>
      <c r="T8" s="12">
        <f>COUNTIF($A:$A,$S8)</f>
        <v/>
      </c>
    </row>
    <row customHeight="1" ht="16.5" r="9" s="53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>
        <v>1</v>
      </c>
      <c r="L9" s="10" t="n"/>
      <c r="M9" s="10" t="n"/>
      <c r="N9" s="10" t="n"/>
      <c r="O9" s="10" t="n"/>
      <c r="S9" s="14" t="n"/>
      <c r="T9" s="2" t="n"/>
    </row>
    <row customHeight="1" ht="16.5" r="10" s="53">
      <c r="A10" s="8" t="inlineStr">
        <is>
          <t>华南二区</t>
        </is>
      </c>
      <c r="B10" s="8" t="inlineStr">
        <is>
          <t>泉州晋江中心</t>
        </is>
      </c>
      <c r="C10" s="9" t="n">
        <v>1</v>
      </c>
      <c r="D10" s="9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</row>
    <row customHeight="1" ht="16.5" r="11" s="53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</row>
    <row customHeight="1" ht="16.5" r="12" s="53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customHeight="1" ht="16.5" r="13" s="53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>
        <v>1</v>
      </c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customHeight="1" ht="16.5" r="14" s="53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</row>
    <row customHeight="1" ht="16.5" r="15" s="53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>
        <v>1</v>
      </c>
      <c r="L15" s="10" t="n"/>
      <c r="M15" s="10" t="n"/>
      <c r="N15" s="10" t="n"/>
      <c r="O15" s="10" t="n"/>
    </row>
    <row customHeight="1" ht="16.5" r="16" s="53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customHeight="1" ht="16.5" r="17" s="53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customHeight="1" ht="16.5" r="18" s="53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customHeight="1" ht="16.5" r="19" s="53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>
        <v>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customHeight="1" ht="16.5" r="20" s="53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>
        <v>1</v>
      </c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customHeight="1" ht="16.5" r="21" s="53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>
        <v>1</v>
      </c>
      <c r="F21" s="10" t="n"/>
      <c r="G21" s="9" t="n">
        <v>1</v>
      </c>
      <c r="H21" s="9" t="n">
        <v>1</v>
      </c>
      <c r="I21" s="10" t="n"/>
      <c r="J21" s="10" t="n">
        <v>1</v>
      </c>
      <c r="K21" s="10" t="n"/>
      <c r="L21" s="10" t="n"/>
      <c r="M21" s="10" t="n"/>
      <c r="N21" s="10" t="n"/>
      <c r="O21" s="10">
        <f>SUM(C21:N21)</f>
        <v/>
      </c>
    </row>
    <row customHeight="1" ht="16.5" r="22" s="53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customHeight="1" ht="16.5" r="23" s="53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>
        <v>1</v>
      </c>
      <c r="K23" s="10" t="n"/>
      <c r="L23" s="10" t="n"/>
      <c r="M23" s="10" t="n"/>
      <c r="N23" s="10" t="n"/>
      <c r="O23" s="10">
        <f>SUM(C23:N23)</f>
        <v/>
      </c>
    </row>
    <row customHeight="1" ht="16.5" r="24" s="53">
      <c r="A24" s="8" t="inlineStr">
        <is>
          <t>华东二区</t>
        </is>
      </c>
      <c r="B24" s="8" t="inlineStr">
        <is>
          <t>上海浦东中心</t>
        </is>
      </c>
      <c r="C24" s="9" t="n">
        <v>1</v>
      </c>
      <c r="D24" s="9" t="n"/>
      <c r="E24" s="9" t="n">
        <v>1</v>
      </c>
      <c r="F24" s="10" t="n"/>
      <c r="G24" s="10" t="n"/>
      <c r="H24" s="9" t="n">
        <v>1</v>
      </c>
      <c r="I24" s="10" t="n">
        <v>1</v>
      </c>
      <c r="J24" s="10" t="n"/>
      <c r="K24" s="10" t="n">
        <v>1</v>
      </c>
      <c r="L24" s="10" t="n"/>
      <c r="M24" s="10" t="n"/>
      <c r="N24" s="10" t="n"/>
      <c r="O24" s="10">
        <f>SUM(C24:N24)</f>
        <v/>
      </c>
    </row>
    <row customHeight="1" ht="16.5" r="25" s="53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>
        <v>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customHeight="1" ht="16.5" r="26" s="53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>
        <v>1</v>
      </c>
      <c r="F26" s="10" t="n"/>
      <c r="G26" s="10" t="n"/>
      <c r="H26" s="10" t="n"/>
      <c r="I26" s="10" t="n">
        <v>1</v>
      </c>
      <c r="J26" s="10" t="n"/>
      <c r="K26" s="10" t="n"/>
      <c r="L26" s="10" t="n"/>
      <c r="M26" s="10" t="n"/>
      <c r="N26" s="10" t="n"/>
      <c r="O26" s="10">
        <f>SUM(C26:N26)</f>
        <v/>
      </c>
    </row>
    <row customHeight="1" ht="16.5" r="27" s="53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>
        <v>1</v>
      </c>
      <c r="F27" s="10" t="n"/>
      <c r="G27" s="9" t="n">
        <v>1</v>
      </c>
      <c r="H27" s="10" t="n"/>
      <c r="I27" s="10" t="n"/>
      <c r="J27" s="10" t="n">
        <v>1</v>
      </c>
      <c r="K27" s="10" t="n"/>
      <c r="L27" s="10" t="n"/>
      <c r="M27" s="10" t="n"/>
      <c r="N27" s="10" t="n"/>
      <c r="O27" s="10">
        <f>SUM(C27:N27)</f>
        <v/>
      </c>
    </row>
    <row customHeight="1" ht="16.5" r="28" s="53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/>
      <c r="E28" s="9" t="n">
        <v>1</v>
      </c>
      <c r="F28" s="10" t="n"/>
      <c r="G28" s="9" t="n">
        <v>1</v>
      </c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customHeight="1" ht="16.5" r="29" s="53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customHeight="1" ht="16.5" r="30" s="53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>
        <v>1</v>
      </c>
      <c r="F30" s="10" t="n"/>
      <c r="G30" s="10" t="n"/>
      <c r="H30" s="10" t="n"/>
      <c r="I30" s="10" t="n">
        <v>1</v>
      </c>
      <c r="J30" s="10" t="n">
        <v>1</v>
      </c>
      <c r="K30" s="10" t="n">
        <v>1</v>
      </c>
      <c r="L30" s="10" t="n"/>
      <c r="M30" s="10" t="n"/>
      <c r="N30" s="10" t="n"/>
      <c r="O30" s="10">
        <f>SUM(C30:N30)</f>
        <v/>
      </c>
    </row>
    <row customHeight="1" ht="16.5" r="31" s="53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>
        <v>1</v>
      </c>
      <c r="L31" s="10" t="n"/>
      <c r="M31" s="10" t="n"/>
      <c r="N31" s="10" t="n"/>
      <c r="O31" s="10" t="n"/>
    </row>
    <row customHeight="1" ht="16.5" r="32" s="53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>
        <v>1</v>
      </c>
      <c r="F32" s="10" t="n"/>
      <c r="G32" s="10" t="n"/>
      <c r="H32" s="10" t="n"/>
      <c r="I32" s="10" t="n"/>
      <c r="J32" s="10" t="n">
        <v>1</v>
      </c>
      <c r="K32" s="10" t="n"/>
      <c r="L32" s="10" t="n"/>
      <c r="M32" s="10" t="n"/>
      <c r="N32" s="10" t="n"/>
      <c r="O32" s="10">
        <f>SUM(C32:N32)</f>
        <v/>
      </c>
    </row>
    <row customHeight="1" ht="16.5" r="33" s="53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>
        <v>1</v>
      </c>
      <c r="F33" s="10" t="n"/>
      <c r="G33" s="10" t="n"/>
      <c r="H33" s="9" t="n">
        <v>1</v>
      </c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customHeight="1" ht="16.5" r="34" s="53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customHeight="1" ht="16.5" r="35" s="53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/>
      <c r="E35" s="9" t="n">
        <v>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customHeight="1" ht="16.5" r="36" s="53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>
        <v>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customHeight="1" ht="16.5" r="37" s="53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>
        <v>1</v>
      </c>
      <c r="F37" s="9" t="n">
        <v>1</v>
      </c>
      <c r="G37" s="10" t="n"/>
      <c r="H37" s="9" t="n">
        <v>1</v>
      </c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customHeight="1" ht="16.5" r="38" s="53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>
        <v>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customHeight="1" ht="16.5" r="39" s="53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customHeight="1" ht="16.5" r="40" s="53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customHeight="1" ht="16.5" r="41" s="53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/>
      <c r="E41" s="15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customHeight="1" ht="16.5" r="42" s="53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customHeight="1" ht="16.5" r="43" s="53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customHeight="1" ht="16.5" r="44" s="53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customHeight="1" ht="16.5" r="45" s="53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customHeight="1" ht="16.5" r="46" s="53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customHeight="1" ht="16.5" r="47" s="53">
      <c r="A47" s="8" t="inlineStr">
        <is>
          <t>华中区</t>
        </is>
      </c>
      <c r="B47" s="8" t="inlineStr">
        <is>
          <t>武汉汉阳中心</t>
        </is>
      </c>
      <c r="C47" s="9" t="n">
        <v>1</v>
      </c>
      <c r="D47" s="9" t="n"/>
      <c r="E47" s="9" t="n">
        <v>1</v>
      </c>
      <c r="F47" s="10" t="n"/>
      <c r="G47" s="9" t="n">
        <v>1</v>
      </c>
      <c r="H47" s="9" t="n">
        <v>1</v>
      </c>
      <c r="I47" s="10" t="n">
        <v>1</v>
      </c>
      <c r="J47" s="10" t="n"/>
      <c r="K47" s="10" t="n"/>
      <c r="L47" s="10" t="n"/>
      <c r="M47" s="10" t="n"/>
      <c r="N47" s="10" t="n"/>
      <c r="O47" s="10">
        <f>SUM(C47:N47)</f>
        <v/>
      </c>
    </row>
    <row customHeight="1" ht="16.5" r="48" s="53">
      <c r="A48" s="8" t="inlineStr">
        <is>
          <t>华中区</t>
        </is>
      </c>
      <c r="B48" s="8" t="inlineStr">
        <is>
          <t>武汉香港路中心</t>
        </is>
      </c>
      <c r="C48" s="9" t="n"/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customHeight="1" ht="16.5" r="49" s="53">
      <c r="A49" s="8" t="inlineStr">
        <is>
          <t>华中区</t>
        </is>
      </c>
      <c r="B49" s="8" t="inlineStr">
        <is>
          <t>长沙汇金中心</t>
        </is>
      </c>
      <c r="C49" s="9" t="n">
        <v>1</v>
      </c>
      <c r="D49" s="9" t="n"/>
      <c r="E49" s="9" t="n"/>
      <c r="F49" s="10" t="n"/>
      <c r="G49" s="9" t="n">
        <v>1</v>
      </c>
      <c r="H49" s="9" t="n">
        <v>1</v>
      </c>
      <c r="I49" s="10" t="n"/>
      <c r="J49" s="10" t="n">
        <v>1</v>
      </c>
      <c r="K49" s="10" t="n"/>
      <c r="L49" s="10" t="n"/>
      <c r="M49" s="10" t="n"/>
      <c r="N49" s="10" t="n"/>
      <c r="O49" s="10">
        <f>SUM(C49:N49)</f>
        <v/>
      </c>
    </row>
    <row customHeight="1" ht="16.5" r="50" s="53">
      <c r="A50" s="8" t="inlineStr">
        <is>
          <t>华中区</t>
        </is>
      </c>
      <c r="B50" s="8" t="inlineStr">
        <is>
          <t>南昌红谷滩中心</t>
        </is>
      </c>
      <c r="C50" s="9" t="n"/>
      <c r="D50" s="9" t="n"/>
      <c r="E50" s="9" t="n">
        <v>1</v>
      </c>
      <c r="F50" s="10" t="n"/>
      <c r="G50" s="9" t="n">
        <v>1</v>
      </c>
      <c r="H50" s="9" t="n">
        <v>1</v>
      </c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customHeight="1" ht="16.5" r="51" s="53">
      <c r="A51" s="8" t="inlineStr">
        <is>
          <t>西南区</t>
        </is>
      </c>
      <c r="B51" s="8" t="inlineStr">
        <is>
          <t>成都高新中心</t>
        </is>
      </c>
      <c r="C51" s="9" t="n"/>
      <c r="D51" s="9" t="n"/>
      <c r="E51" s="9" t="n">
        <v>1</v>
      </c>
      <c r="F51" s="10" t="n"/>
      <c r="G51" s="9" t="n">
        <v>1</v>
      </c>
      <c r="H51" s="9" t="n">
        <v>1</v>
      </c>
      <c r="I51" s="10" t="n"/>
      <c r="J51" s="10" t="n">
        <v>1</v>
      </c>
      <c r="K51" s="10" t="n"/>
      <c r="L51" s="10" t="n"/>
      <c r="M51" s="10" t="n"/>
      <c r="N51" s="10" t="n"/>
      <c r="O51" s="10">
        <f>SUM(C51:N51)</f>
        <v/>
      </c>
    </row>
    <row customHeight="1" ht="16.5" r="52" s="53">
      <c r="A52" s="8" t="inlineStr">
        <is>
          <t>西南区</t>
        </is>
      </c>
      <c r="B52" s="8" t="inlineStr">
        <is>
          <t>成都武侯中心</t>
        </is>
      </c>
      <c r="C52" s="9" t="n"/>
      <c r="D52" s="9" t="n"/>
      <c r="E52" s="9" t="n"/>
      <c r="F52" s="10" t="n"/>
      <c r="G52" s="10" t="n"/>
      <c r="H52" s="10" t="n"/>
      <c r="I52" s="10" t="n">
        <v>1</v>
      </c>
      <c r="J52" s="10" t="n">
        <v>1</v>
      </c>
      <c r="K52" s="10" t="n"/>
      <c r="L52" s="10" t="n"/>
      <c r="M52" s="10" t="n"/>
      <c r="N52" s="10" t="n"/>
      <c r="O52" s="10">
        <f>SUM(C52:N52)</f>
        <v/>
      </c>
    </row>
    <row customHeight="1" ht="16.5" r="53" s="53">
      <c r="A53" s="8" t="inlineStr">
        <is>
          <t>西南区</t>
        </is>
      </c>
      <c r="B53" s="8" t="inlineStr">
        <is>
          <t>重庆渝北中心</t>
        </is>
      </c>
      <c r="C53" s="9" t="n"/>
      <c r="D53" s="9" t="n"/>
      <c r="E53" s="9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>
        <f>SUM(C53:N53)</f>
        <v/>
      </c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  <row r="204">
      <c r="C204" s="16" t="n"/>
      <c r="D204" s="16" t="n"/>
    </row>
    <row r="205">
      <c r="C205" s="16" t="n"/>
      <c r="D205" s="16" t="n"/>
    </row>
    <row r="206">
      <c r="C206" s="16" t="n"/>
      <c r="D206" s="16" t="n"/>
    </row>
    <row r="207">
      <c r="C207" s="16" t="n"/>
      <c r="D207" s="16" t="n"/>
    </row>
  </sheetData>
  <mergeCells count="1">
    <mergeCell ref="A1:O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月报(2026)">
    <outlinePr summaryBelow="0" summaryRight="0"/>
    <pageSetUpPr/>
  </sheetPr>
  <dimension ref="A1:V203"/>
  <sheetViews>
    <sheetView workbookViewId="0">
      <pane activePane="bottomRight" state="frozen" topLeftCell="C3" xSplit="2" ySplit="2"/>
      <selection activeCell="A1" pane="topRight" sqref="A1"/>
      <selection activeCell="A1" pane="bottomLeft" sqref="A1"/>
      <selection activeCell="C3" pane="bottomRight" sqref="C3"/>
    </sheetView>
  </sheetViews>
  <sheetFormatPr baseColWidth="10" defaultRowHeight="16"/>
  <cols>
    <col customWidth="1" max="1" min="1" style="53" width="6.33203125"/>
    <col customWidth="1" max="2" min="2" style="53" width="11.83203125"/>
    <col customWidth="1" max="5" min="3" style="17" width="3.1640625"/>
    <col customWidth="1" max="11" min="6" style="53" width="3.1640625"/>
    <col customWidth="1" max="14" min="12" style="53" width="3.83203125"/>
    <col customWidth="1" max="15" min="15" style="53" width="3.6640625"/>
    <col customWidth="1" max="19" min="19" style="53" width="7.6640625"/>
    <col customWidth="1" max="20" min="20" style="53" width="2.83203125"/>
  </cols>
  <sheetData>
    <row customHeight="1" ht="22.5" r="1" s="53">
      <c r="A1" s="54" t="inlineStr">
        <is>
          <t>2025未填写月报次数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6" t="n"/>
      <c r="S1" s="1" t="n"/>
      <c r="T1" s="2" t="n"/>
    </row>
    <row customHeight="1" ht="16.5" r="2" s="53">
      <c r="A2" s="18" t="inlineStr">
        <is>
          <t>区域</t>
        </is>
      </c>
      <c r="B2" s="18" t="inlineStr">
        <is>
          <t>中心</t>
        </is>
      </c>
      <c r="C2" s="19" t="inlineStr">
        <is>
          <t>1月</t>
        </is>
      </c>
      <c r="D2" s="19" t="inlineStr">
        <is>
          <t>2月</t>
        </is>
      </c>
      <c r="E2" s="20" t="inlineStr">
        <is>
          <t>3月</t>
        </is>
      </c>
      <c r="F2" s="19" t="inlineStr">
        <is>
          <t>4月</t>
        </is>
      </c>
      <c r="G2" s="19" t="inlineStr">
        <is>
          <t>5月</t>
        </is>
      </c>
      <c r="H2" s="19" t="inlineStr">
        <is>
          <t>6月</t>
        </is>
      </c>
      <c r="I2" s="19" t="inlineStr">
        <is>
          <t>7月</t>
        </is>
      </c>
      <c r="J2" s="19" t="inlineStr">
        <is>
          <t>8月</t>
        </is>
      </c>
      <c r="K2" s="19" t="inlineStr">
        <is>
          <t>9月</t>
        </is>
      </c>
      <c r="L2" s="19" t="inlineStr">
        <is>
          <t>10月</t>
        </is>
      </c>
      <c r="M2" s="19" t="inlineStr">
        <is>
          <t>11月</t>
        </is>
      </c>
      <c r="N2" s="19" t="inlineStr">
        <is>
          <t>12月</t>
        </is>
      </c>
      <c r="O2" s="19" t="inlineStr">
        <is>
          <t>总计</t>
        </is>
      </c>
      <c r="S2" s="6" t="inlineStr">
        <is>
          <t>中心总数</t>
        </is>
      </c>
      <c r="T2" s="7">
        <f>SUM(T3:T104)</f>
        <v/>
      </c>
    </row>
    <row customHeight="1" ht="16.5" r="3" s="53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/>
      <c r="F3" s="9" t="n"/>
      <c r="G3" s="9" t="n"/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  <c r="U3" s="0" t="inlineStr">
        <is>
          <t>华南分公司</t>
        </is>
      </c>
      <c r="V3" s="0">
        <f>T3+T4</f>
        <v/>
      </c>
    </row>
    <row customHeight="1" ht="16.5" r="4" s="53">
      <c r="A4" s="8" t="inlineStr">
        <is>
          <t>华南一区</t>
        </is>
      </c>
      <c r="B4" s="8" t="inlineStr">
        <is>
          <t>深圳龙岗龙城中心</t>
        </is>
      </c>
      <c r="C4" s="9" t="n"/>
      <c r="D4" s="13" t="n"/>
      <c r="E4" s="13" t="n"/>
      <c r="F4" s="9" t="n"/>
      <c r="G4" s="9" t="n"/>
      <c r="H4" s="10" t="n"/>
      <c r="I4" s="9" t="n"/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customHeight="1" ht="16.5" r="5" s="53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  <c r="U5" s="0" t="inlineStr">
        <is>
          <t>华南三区</t>
        </is>
      </c>
      <c r="V5" s="0">
        <f>T5</f>
        <v/>
      </c>
    </row>
    <row customHeight="1" ht="16.5" r="6" s="53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/>
      <c r="F6" s="9" t="n"/>
      <c r="G6" s="9" t="n"/>
      <c r="H6" s="9" t="n"/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  <c r="U6" s="0" t="inlineStr">
        <is>
          <t>华南四区</t>
        </is>
      </c>
      <c r="V6" s="0">
        <f>T6</f>
        <v/>
      </c>
    </row>
    <row customHeight="1" ht="16.5" r="7" s="53">
      <c r="A7" s="8" t="inlineStr">
        <is>
          <t>华南二区</t>
        </is>
      </c>
      <c r="B7" s="8" t="inlineStr">
        <is>
          <t>深圳坂田杨美中心</t>
        </is>
      </c>
      <c r="C7" s="9" t="n"/>
      <c r="D7" s="9" t="n">
        <v>1</v>
      </c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  <c r="U7" s="0" t="inlineStr">
        <is>
          <t>华东分公司</t>
        </is>
      </c>
      <c r="V7" s="0">
        <f>T7+T8+T9</f>
        <v/>
      </c>
    </row>
    <row customHeight="1" ht="16.5" r="8" s="53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华东二区</t>
        </is>
      </c>
      <c r="T8" s="12">
        <f>COUNTIF($A:$A,$S8)</f>
        <v/>
      </c>
    </row>
    <row customHeight="1" ht="16.5" r="9" s="53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>
        <f>SUM(C9:N9)</f>
        <v/>
      </c>
      <c r="S9" s="11" t="inlineStr">
        <is>
          <t>华东三区</t>
        </is>
      </c>
      <c r="T9" s="12">
        <f>COUNTIF($A:$A,$S9)</f>
        <v/>
      </c>
    </row>
    <row customHeight="1" ht="16.5" r="10" s="53">
      <c r="A10" s="8" t="inlineStr">
        <is>
          <t>华南二区</t>
        </is>
      </c>
      <c r="B10" s="8" t="inlineStr">
        <is>
          <t>泉州晋江中心</t>
        </is>
      </c>
      <c r="C10" s="9" t="n"/>
      <c r="D10" s="9" t="n">
        <v>1</v>
      </c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  <c r="U10" s="0" t="inlineStr">
        <is>
          <t>华东四区</t>
        </is>
      </c>
      <c r="V10" s="0">
        <f>T10</f>
        <v/>
      </c>
    </row>
    <row customHeight="1" ht="16.5" r="11" s="53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  <c r="U11" s="0" t="inlineStr">
        <is>
          <t>华北分公司</t>
        </is>
      </c>
      <c r="V11" s="0">
        <f>T11+T12</f>
        <v/>
      </c>
    </row>
    <row customHeight="1" ht="16.5" r="12" s="53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customHeight="1" ht="16.5" r="13" s="53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customHeight="1" ht="16.5" r="14" s="53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  <c r="U14" s="0" t="inlineStr">
        <is>
          <t>西南区</t>
        </is>
      </c>
      <c r="V14" s="0">
        <f>T14</f>
        <v/>
      </c>
    </row>
    <row customHeight="1" ht="16.5" r="15" s="53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>
        <f>SUM(C15:N15)</f>
        <v/>
      </c>
    </row>
    <row customHeight="1" ht="16.5" r="16" s="53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customHeight="1" ht="16.5" r="17" s="53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customHeight="1" ht="16.5" r="18" s="53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customHeight="1" ht="16.5" r="19" s="53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customHeight="1" ht="16.5" r="20" s="53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/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customHeight="1" ht="16.5" r="21" s="53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/>
      <c r="F21" s="10" t="n"/>
      <c r="G21" s="9" t="n"/>
      <c r="H21" s="9" t="n"/>
      <c r="I21" s="10" t="n"/>
      <c r="J21" s="10" t="n"/>
      <c r="K21" s="10" t="n"/>
      <c r="L21" s="10" t="n"/>
      <c r="M21" s="10" t="n"/>
      <c r="N21" s="10" t="n"/>
      <c r="O21" s="10">
        <f>SUM(C21:N21)</f>
        <v/>
      </c>
    </row>
    <row customHeight="1" ht="16.5" r="22" s="53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customHeight="1" ht="16.5" r="23" s="53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SUM(C23:N23)</f>
        <v/>
      </c>
    </row>
    <row customHeight="1" ht="16.5" r="24" s="53">
      <c r="A24" s="8" t="inlineStr">
        <is>
          <t>华东二区</t>
        </is>
      </c>
      <c r="B24" s="8" t="inlineStr">
        <is>
          <t>上海浦东中心</t>
        </is>
      </c>
      <c r="C24" s="9" t="n"/>
      <c r="D24" s="9" t="n"/>
      <c r="E24" s="9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>
        <f>SUM(C24:N24)</f>
        <v/>
      </c>
    </row>
    <row customHeight="1" ht="16.5" r="25" s="53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customHeight="1" ht="16.5" r="26" s="53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>
        <f>SUM(C26:N26)</f>
        <v/>
      </c>
    </row>
    <row customHeight="1" ht="16.5" r="27" s="53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/>
      <c r="F27" s="10" t="n"/>
      <c r="G27" s="9" t="n"/>
      <c r="H27" s="10" t="n"/>
      <c r="I27" s="10" t="n"/>
      <c r="J27" s="10" t="n"/>
      <c r="K27" s="10" t="n"/>
      <c r="L27" s="10" t="n"/>
      <c r="M27" s="10" t="n"/>
      <c r="N27" s="10" t="n"/>
      <c r="O27" s="10">
        <f>SUM(C27:N27)</f>
        <v/>
      </c>
    </row>
    <row customHeight="1" ht="16.5" r="28" s="53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>
        <v>1</v>
      </c>
      <c r="E28" s="9" t="n"/>
      <c r="F28" s="10" t="n"/>
      <c r="G28" s="9" t="n"/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customHeight="1" ht="16.5" r="29" s="53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customHeight="1" ht="16.5" r="30" s="53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>
        <f>SUM(C30:N30)</f>
        <v/>
      </c>
    </row>
    <row customHeight="1" ht="16.5" r="31" s="53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>
        <f>SUM(C31:N31)</f>
        <v/>
      </c>
    </row>
    <row customHeight="1" ht="16.5" r="32" s="53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>
        <f>SUM(C32:N32)</f>
        <v/>
      </c>
    </row>
    <row customHeight="1" ht="16.5" r="33" s="53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/>
      <c r="F33" s="10" t="n"/>
      <c r="G33" s="10" t="n"/>
      <c r="H33" s="9" t="n"/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customHeight="1" ht="16.5" r="34" s="53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>
        <f>SUM(C34:N34)</f>
        <v/>
      </c>
    </row>
    <row customHeight="1" ht="16.5" r="35" s="53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>
        <v>1</v>
      </c>
      <c r="E35" s="9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customHeight="1" ht="16.5" r="36" s="53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customHeight="1" ht="16.5" r="37" s="53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/>
      <c r="F37" s="9" t="n"/>
      <c r="G37" s="10" t="n"/>
      <c r="H37" s="9" t="n"/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customHeight="1" ht="16.5" r="38" s="53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customHeight="1" ht="16.5" r="39" s="53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customHeight="1" ht="16.5" r="40" s="53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>
        <v>1</v>
      </c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customHeight="1" ht="16.5" r="41" s="53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>
        <v>1</v>
      </c>
      <c r="E41" s="15" t="n">
        <v>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customHeight="1" ht="16.5" r="42" s="53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customHeight="1" ht="16.5" r="43" s="53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customHeight="1" ht="16.5" r="44" s="53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customHeight="1" ht="16.5" r="45" s="53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customHeight="1" ht="16.5" r="46" s="53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customHeight="1" ht="16.5" r="47" s="53">
      <c r="A47" s="8" t="inlineStr">
        <is>
          <t>西南区</t>
        </is>
      </c>
      <c r="B47" s="8" t="inlineStr">
        <is>
          <t>成都高新中心</t>
        </is>
      </c>
      <c r="C47" s="9" t="n">
        <v>1</v>
      </c>
      <c r="D47" s="9" t="n"/>
      <c r="E47" s="9" t="n">
        <v>1</v>
      </c>
      <c r="F47" s="10" t="n"/>
      <c r="G47" s="9" t="n"/>
      <c r="H47" s="9" t="n"/>
      <c r="I47" s="10" t="n"/>
      <c r="J47" s="10" t="n"/>
      <c r="K47" s="10" t="n"/>
      <c r="L47" s="10" t="n"/>
      <c r="M47" s="10" t="n"/>
      <c r="N47" s="10" t="n"/>
      <c r="O47" s="10">
        <f>SUM(C47:N47)</f>
        <v/>
      </c>
    </row>
    <row customHeight="1" ht="16.5" r="48" s="53">
      <c r="A48" s="8" t="inlineStr">
        <is>
          <t>西南区</t>
        </is>
      </c>
      <c r="B48" s="8" t="inlineStr">
        <is>
          <t>成都武侯中心</t>
        </is>
      </c>
      <c r="C48" s="9" t="n">
        <v>1</v>
      </c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customHeight="1" ht="16.5" r="49" s="53">
      <c r="A49" s="8" t="inlineStr">
        <is>
          <t>西南区</t>
        </is>
      </c>
      <c r="B49" s="8" t="inlineStr">
        <is>
          <t>重庆渝北中心</t>
        </is>
      </c>
      <c r="C49" s="9" t="n"/>
      <c r="D49" s="9" t="n"/>
      <c r="E49" s="9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>
        <f>SUM(C49:N49)</f>
        <v/>
      </c>
    </row>
    <row r="50">
      <c r="A50" s="10" t="inlineStr">
        <is>
          <t>华南一区</t>
        </is>
      </c>
      <c r="B50" s="10" t="inlineStr">
        <is>
          <t>深圳福田中心</t>
        </is>
      </c>
      <c r="C50" s="9" t="n">
        <v>1</v>
      </c>
      <c r="D50" s="9" t="n">
        <v>1</v>
      </c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>
      <c r="C51" s="16" t="n"/>
      <c r="D51" s="16" t="n"/>
    </row>
    <row r="52">
      <c r="C52" s="16" t="n"/>
      <c r="D52" s="16" t="n"/>
    </row>
    <row r="53">
      <c r="C53" s="16" t="n"/>
      <c r="D53" s="16" t="n"/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38"/>
  <sheetViews>
    <sheetView workbookViewId="0">
      <selection activeCell="A1" sqref="A1"/>
    </sheetView>
  </sheetViews>
  <sheetFormatPr baseColWidth="10" customHeight="1" defaultColWidth="10.83203125" defaultRowHeight="15"/>
  <cols>
    <col customWidth="1" max="1" min="1" style="23" width="6.83203125"/>
    <col customWidth="1" max="2" min="2" style="23" width="8.83203125"/>
    <col customWidth="1" max="3" min="3" style="23" width="19.6640625"/>
    <col customWidth="1" max="4" min="4" style="23" width="13"/>
    <col customWidth="1" hidden="1" max="6" min="5" style="23" width="30.5"/>
    <col customWidth="1" max="7" min="7" style="23" width="30.5"/>
    <col customWidth="1" max="26" min="8" style="23" width="10.83203125"/>
  </cols>
  <sheetData>
    <row customHeight="1" ht="15" r="1" s="53">
      <c r="A1" s="21" t="n"/>
      <c r="B1" s="22" t="inlineStr">
        <is>
          <t>区域</t>
        </is>
      </c>
      <c r="C1" s="22" t="inlineStr">
        <is>
          <t>中心</t>
        </is>
      </c>
      <c r="D1" s="22" t="inlineStr">
        <is>
          <t>是否提交日报</t>
        </is>
      </c>
      <c r="E1" s="23" t="inlineStr">
        <is>
          <t>2023年</t>
        </is>
      </c>
      <c r="F1" s="23" t="inlineStr">
        <is>
          <t>2024年</t>
        </is>
      </c>
      <c r="G1" s="23" t="inlineStr">
        <is>
          <t>2025年</t>
        </is>
      </c>
      <c r="H1" s="22" t="inlineStr">
        <is>
          <t>中心总数</t>
        </is>
      </c>
      <c r="I1" s="24">
        <f>SUM(I2:I101)</f>
        <v/>
      </c>
    </row>
    <row customHeight="1" ht="15.75" r="2" s="53">
      <c r="A2" s="24" t="n">
        <v>1</v>
      </c>
      <c r="B2" s="24" t="inlineStr">
        <is>
          <t>一区</t>
        </is>
      </c>
      <c r="C2" s="24" t="inlineStr">
        <is>
          <t>深圳杨美中心</t>
        </is>
      </c>
      <c r="D2" s="24" t="inlineStr">
        <is>
          <t>是</t>
        </is>
      </c>
      <c r="E2" s="23" t="inlineStr">
        <is>
          <t>累计未发1次，迟发1次</t>
        </is>
      </c>
      <c r="F2" s="23" t="inlineStr">
        <is>
          <t>累计未发1次，迟发7次</t>
        </is>
      </c>
      <c r="G2" s="23" t="inlineStr">
        <is>
          <t>累计未发1次</t>
        </is>
      </c>
      <c r="H2" s="23" t="inlineStr">
        <is>
          <t>一区</t>
        </is>
      </c>
      <c r="I2" s="23" t="n">
        <v>7</v>
      </c>
    </row>
    <row customHeight="1" ht="15" r="3" s="53">
      <c r="A3" s="24" t="n">
        <v>2</v>
      </c>
      <c r="B3" s="24" t="inlineStr">
        <is>
          <t>一区</t>
        </is>
      </c>
      <c r="C3" s="24" t="inlineStr">
        <is>
          <t>深圳宝安中心</t>
        </is>
      </c>
      <c r="D3" s="24" t="inlineStr">
        <is>
          <t>是</t>
        </is>
      </c>
      <c r="E3" s="23" t="inlineStr">
        <is>
          <t>累计未发1次，迟发1次</t>
        </is>
      </c>
      <c r="H3" s="23" t="inlineStr">
        <is>
          <t>二区</t>
        </is>
      </c>
      <c r="I3" s="23" t="n">
        <v>6</v>
      </c>
    </row>
    <row customHeight="1" ht="15" r="4" s="53">
      <c r="A4" s="24" t="n">
        <v>3</v>
      </c>
      <c r="B4" s="24" t="inlineStr">
        <is>
          <t>一区</t>
        </is>
      </c>
      <c r="C4" s="24" t="inlineStr">
        <is>
          <t>深圳福田中心</t>
        </is>
      </c>
      <c r="D4" s="24" t="inlineStr">
        <is>
          <t>是</t>
        </is>
      </c>
      <c r="E4" s="23" t="inlineStr">
        <is>
          <t>迟发1次</t>
        </is>
      </c>
      <c r="F4" s="23" t="inlineStr">
        <is>
          <t>累计未发2次</t>
        </is>
      </c>
      <c r="H4" s="23" t="inlineStr">
        <is>
          <t>三区</t>
        </is>
      </c>
      <c r="I4" s="23" t="n">
        <v>8</v>
      </c>
    </row>
    <row customHeight="1" ht="15" r="5" s="53">
      <c r="A5" s="24" t="n">
        <v>4</v>
      </c>
      <c r="B5" s="24" t="inlineStr">
        <is>
          <t>一区</t>
        </is>
      </c>
      <c r="C5" s="24" t="inlineStr">
        <is>
          <t>深圳龙城中心</t>
        </is>
      </c>
      <c r="D5" s="24" t="inlineStr">
        <is>
          <t>是</t>
        </is>
      </c>
      <c r="E5" s="23" t="inlineStr">
        <is>
          <t>迟发1次</t>
        </is>
      </c>
      <c r="F5" s="23" t="inlineStr">
        <is>
          <t>(换主任前)未发1次；累计未发5次，迟发9次</t>
        </is>
      </c>
      <c r="G5" s="23" t="inlineStr">
        <is>
          <t>累计未发1次</t>
        </is>
      </c>
      <c r="H5" s="23" t="inlineStr">
        <is>
          <t>四区</t>
        </is>
      </c>
      <c r="I5" s="23" t="n">
        <v>8</v>
      </c>
    </row>
    <row customHeight="1" ht="15" r="6" s="53">
      <c r="A6" s="24" t="n">
        <v>5</v>
      </c>
      <c r="B6" s="24" t="inlineStr">
        <is>
          <t>一区</t>
        </is>
      </c>
      <c r="C6" s="24" t="inlineStr">
        <is>
          <t>深圳民治中心</t>
        </is>
      </c>
      <c r="D6" s="24" t="inlineStr">
        <is>
          <t>是</t>
        </is>
      </c>
      <c r="F6" s="23" t="inlineStr">
        <is>
          <t>累计未发5次，迟发2次</t>
        </is>
      </c>
      <c r="H6" s="23" t="inlineStr">
        <is>
          <t>五区</t>
        </is>
      </c>
      <c r="I6" s="23" t="n">
        <v>4</v>
      </c>
    </row>
    <row customHeight="1" ht="15" r="7" s="53">
      <c r="A7" s="24" t="n">
        <v>6</v>
      </c>
      <c r="B7" s="24" t="inlineStr">
        <is>
          <t>一区</t>
        </is>
      </c>
      <c r="C7" s="24" t="inlineStr">
        <is>
          <t>深圳蛇口中心</t>
        </is>
      </c>
      <c r="D7" s="25" t="n"/>
      <c r="E7" s="23" t="inlineStr">
        <is>
          <t>未发1次</t>
        </is>
      </c>
      <c r="H7" s="23" t="inlineStr">
        <is>
          <t>六区</t>
        </is>
      </c>
      <c r="I7" s="23" t="n">
        <v>3</v>
      </c>
    </row>
    <row customHeight="1" ht="15" r="8" s="53">
      <c r="A8" s="24" t="n">
        <v>7</v>
      </c>
      <c r="B8" s="24" t="inlineStr">
        <is>
          <t>一区</t>
        </is>
      </c>
      <c r="C8" s="24" t="inlineStr">
        <is>
          <t>深圳云里中心</t>
        </is>
      </c>
      <c r="D8" s="24" t="inlineStr">
        <is>
          <t>是</t>
        </is>
      </c>
      <c r="E8" s="23" t="inlineStr">
        <is>
          <t>未发1次</t>
        </is>
      </c>
      <c r="F8" s="23" t="inlineStr">
        <is>
          <t>累计未发7次</t>
        </is>
      </c>
    </row>
    <row customHeight="1" ht="15" r="9" s="53">
      <c r="A9" s="24" t="n">
        <v>8</v>
      </c>
      <c r="B9" s="24" t="inlineStr">
        <is>
          <t>一区</t>
        </is>
      </c>
      <c r="C9" s="26" t="inlineStr">
        <is>
          <t>深圳南油中心</t>
        </is>
      </c>
      <c r="D9" s="24" t="inlineStr">
        <is>
          <t>是</t>
        </is>
      </c>
      <c r="F9" s="23" t="inlineStr">
        <is>
          <t>累计未发5次，迟发6次</t>
        </is>
      </c>
    </row>
    <row customHeight="1" ht="15" r="10" s="53">
      <c r="A10" s="24" t="n">
        <v>1</v>
      </c>
      <c r="B10" s="24" t="inlineStr">
        <is>
          <t>二区</t>
        </is>
      </c>
      <c r="C10" s="24" t="inlineStr">
        <is>
          <t>东莞南城中心</t>
        </is>
      </c>
      <c r="D10" s="24" t="inlineStr">
        <is>
          <t>是</t>
        </is>
      </c>
      <c r="F10" s="23" t="inlineStr">
        <is>
          <t>累计未发1次</t>
        </is>
      </c>
    </row>
    <row customHeight="1" ht="15" r="11" s="53">
      <c r="A11" s="24" t="n">
        <v>2</v>
      </c>
      <c r="B11" s="24" t="inlineStr">
        <is>
          <t>二区</t>
        </is>
      </c>
      <c r="C11" s="24" t="inlineStr">
        <is>
          <t>佛山禅城中心</t>
        </is>
      </c>
      <c r="D11" s="24" t="inlineStr">
        <is>
          <t>是</t>
        </is>
      </c>
      <c r="E11" s="23" t="inlineStr">
        <is>
          <t>累计未发2次</t>
        </is>
      </c>
      <c r="F11" s="23" t="inlineStr">
        <is>
          <t>（换主任前）未发2次，迟发1次；累计未发8次，迟发1次</t>
        </is>
      </c>
    </row>
    <row customHeight="1" ht="15" r="12" s="53">
      <c r="A12" s="24" t="n">
        <v>3</v>
      </c>
      <c r="B12" s="24" t="inlineStr">
        <is>
          <t>二区</t>
        </is>
      </c>
      <c r="C12" s="24" t="inlineStr">
        <is>
          <t>广州番禺中心</t>
        </is>
      </c>
      <c r="D12" s="24" t="inlineStr">
        <is>
          <t>是</t>
        </is>
      </c>
      <c r="F12" s="23" t="inlineStr">
        <is>
          <t>迟发1次</t>
        </is>
      </c>
    </row>
    <row customHeight="1" ht="15" r="13" s="53">
      <c r="A13" s="24" t="n">
        <v>4</v>
      </c>
      <c r="B13" s="24" t="inlineStr">
        <is>
          <t>二区</t>
        </is>
      </c>
      <c r="C13" s="24" t="inlineStr">
        <is>
          <t>广州岗顶中心</t>
        </is>
      </c>
      <c r="D13" s="24" t="inlineStr">
        <is>
          <t>是</t>
        </is>
      </c>
      <c r="F13" s="23" t="inlineStr">
        <is>
          <t>累计未发1次;(换主任前)未发1次，迟发1次;（换主任前）未发6次，迟发6次</t>
        </is>
      </c>
      <c r="G13" s="23" t="inlineStr">
        <is>
          <t>累计未发1次</t>
        </is>
      </c>
    </row>
    <row customHeight="1" ht="15" r="14" s="53">
      <c r="A14" s="24" t="n">
        <v>5</v>
      </c>
      <c r="B14" s="24" t="inlineStr">
        <is>
          <t>二区</t>
        </is>
      </c>
      <c r="C14" s="24" t="inlineStr">
        <is>
          <t>广州黄埔中心</t>
        </is>
      </c>
      <c r="D14" s="24" t="inlineStr">
        <is>
          <t>是</t>
        </is>
      </c>
    </row>
    <row customHeight="1" ht="15" r="15" s="53">
      <c r="A15" s="24" t="n">
        <v>6</v>
      </c>
      <c r="B15" s="24" t="inlineStr">
        <is>
          <t>二区</t>
        </is>
      </c>
      <c r="C15" s="24" t="inlineStr">
        <is>
          <t>广州盈丰中心</t>
        </is>
      </c>
      <c r="D15" s="24" t="inlineStr">
        <is>
          <t>是</t>
        </is>
      </c>
      <c r="F15" s="23" t="inlineStr">
        <is>
          <t>累计未发1次; (换主任前)累计未发3次，迟发3次</t>
        </is>
      </c>
      <c r="G15" s="23" t="inlineStr">
        <is>
          <t>累计未发1次，迟发2次</t>
        </is>
      </c>
    </row>
    <row customHeight="1" ht="15" r="16" s="53">
      <c r="A16" s="24" t="n">
        <v>1</v>
      </c>
      <c r="B16" s="24" t="inlineStr">
        <is>
          <t>三区</t>
        </is>
      </c>
      <c r="C16" s="24" t="inlineStr">
        <is>
          <t>上海李子园中心</t>
        </is>
      </c>
      <c r="D16" s="24" t="inlineStr">
        <is>
          <t>是</t>
        </is>
      </c>
      <c r="F16" s="23" t="inlineStr">
        <is>
          <t>(换主任前)累计未发5次，迟发12次；累计未发2次</t>
        </is>
      </c>
    </row>
    <row customHeight="1" ht="15.75" r="17" s="53">
      <c r="A17" s="24" t="n">
        <v>2</v>
      </c>
      <c r="B17" s="24" t="inlineStr">
        <is>
          <t>三区</t>
        </is>
      </c>
      <c r="C17" s="24" t="inlineStr">
        <is>
          <t>上海浦东中心</t>
        </is>
      </c>
      <c r="D17" s="24" t="inlineStr">
        <is>
          <t>是</t>
        </is>
      </c>
      <c r="E17" s="23" t="inlineStr">
        <is>
          <t>累计未发3次，迟发2次</t>
        </is>
      </c>
      <c r="F17" s="23" t="inlineStr">
        <is>
          <t>累计未发6次，迟发2次</t>
        </is>
      </c>
      <c r="G17" s="23" t="inlineStr">
        <is>
          <t>累计未发2次</t>
        </is>
      </c>
    </row>
    <row customHeight="1" ht="15" r="18" s="53">
      <c r="A18" s="24" t="n">
        <v>3</v>
      </c>
      <c r="B18" s="24" t="inlineStr">
        <is>
          <t>三区</t>
        </is>
      </c>
      <c r="C18" s="24" t="inlineStr">
        <is>
          <t>南京软件谷中心</t>
        </is>
      </c>
      <c r="D18" s="24" t="inlineStr">
        <is>
          <t>是</t>
        </is>
      </c>
      <c r="E18" s="23" t="inlineStr">
        <is>
          <t>未发1次</t>
        </is>
      </c>
      <c r="F18" s="23" t="inlineStr">
        <is>
          <t>累计未发1次，迟发3次</t>
        </is>
      </c>
      <c r="G18" s="23" t="inlineStr">
        <is>
          <t>累计迟发1次</t>
        </is>
      </c>
    </row>
    <row customHeight="1" ht="15" r="19" s="53">
      <c r="A19" s="24" t="n">
        <v>4</v>
      </c>
      <c r="B19" s="24" t="inlineStr">
        <is>
          <t>三区</t>
        </is>
      </c>
      <c r="C19" s="24" t="inlineStr">
        <is>
          <t>上海香樟园中心</t>
        </is>
      </c>
      <c r="D19" s="24" t="inlineStr">
        <is>
          <t>是</t>
        </is>
      </c>
      <c r="F19" s="23" t="inlineStr">
        <is>
          <t>累计未发1次</t>
        </is>
      </c>
    </row>
    <row customHeight="1" ht="15" r="20" s="53">
      <c r="A20" s="24" t="n">
        <v>5</v>
      </c>
      <c r="B20" s="24" t="inlineStr">
        <is>
          <t>三区</t>
        </is>
      </c>
      <c r="C20" s="24" t="inlineStr">
        <is>
          <t>南京新街口中心</t>
        </is>
      </c>
      <c r="D20" s="24" t="inlineStr">
        <is>
          <t>是</t>
        </is>
      </c>
      <c r="E20" s="23" t="inlineStr">
        <is>
          <t>累计迟发1次</t>
        </is>
      </c>
      <c r="F20" s="23" t="inlineStr">
        <is>
          <t>累计未发1次</t>
        </is>
      </c>
    </row>
    <row customHeight="1" ht="15" r="21" s="53">
      <c r="A21" s="24" t="n">
        <v>6</v>
      </c>
      <c r="B21" s="24" t="inlineStr">
        <is>
          <t>三区</t>
        </is>
      </c>
      <c r="C21" s="24" t="inlineStr">
        <is>
          <t>上海宝山中心</t>
        </is>
      </c>
      <c r="D21" s="24" t="inlineStr">
        <is>
          <t>是</t>
        </is>
      </c>
      <c r="E21" s="23" t="inlineStr">
        <is>
          <t>累计未发1次，迟发5次</t>
        </is>
      </c>
      <c r="F21" s="23" t="inlineStr">
        <is>
          <t>累计未发3次</t>
        </is>
      </c>
    </row>
    <row customHeight="1" ht="15" r="22" s="53">
      <c r="A22" s="24" t="n">
        <v>7</v>
      </c>
      <c r="B22" s="24" t="inlineStr">
        <is>
          <t>三区</t>
        </is>
      </c>
      <c r="C22" s="24" t="inlineStr">
        <is>
          <t>苏州中心</t>
        </is>
      </c>
      <c r="D22" s="24" t="inlineStr">
        <is>
          <t>是</t>
        </is>
      </c>
      <c r="E22" s="23" t="inlineStr">
        <is>
          <t>累计未发3次，迟发1次</t>
        </is>
      </c>
      <c r="F22" s="23" t="inlineStr">
        <is>
          <t>累计未发10次</t>
        </is>
      </c>
    </row>
    <row customHeight="1" ht="15" r="23" s="53">
      <c r="A23" s="24" t="n">
        <v>8</v>
      </c>
      <c r="B23" s="24" t="inlineStr">
        <is>
          <t>三区</t>
        </is>
      </c>
      <c r="C23" s="24" t="inlineStr">
        <is>
          <t>无锡中心</t>
        </is>
      </c>
      <c r="D23" s="24" t="inlineStr">
        <is>
          <t>是</t>
        </is>
      </c>
      <c r="F23" s="23" t="inlineStr">
        <is>
          <t>累计未发5次</t>
        </is>
      </c>
      <c r="G23" s="23" t="inlineStr">
        <is>
          <t>累计未发1次</t>
        </is>
      </c>
    </row>
    <row customHeight="1" ht="15" r="24" s="53">
      <c r="A24" s="24" t="n">
        <v>1</v>
      </c>
      <c r="B24" s="24" t="inlineStr">
        <is>
          <t>四区</t>
        </is>
      </c>
      <c r="C24" s="24" t="inlineStr">
        <is>
          <t>成都高新中心</t>
        </is>
      </c>
      <c r="D24" s="24" t="inlineStr">
        <is>
          <t>是</t>
        </is>
      </c>
      <c r="F24" s="23" t="inlineStr">
        <is>
          <t>累计未发6次，迟发3次</t>
        </is>
      </c>
      <c r="G24" s="23" t="inlineStr">
        <is>
          <t>累计未发1次</t>
        </is>
      </c>
    </row>
    <row customHeight="1" ht="15" r="25" s="53">
      <c r="A25" s="24" t="n">
        <v>2</v>
      </c>
      <c r="B25" s="24" t="inlineStr">
        <is>
          <t>四区</t>
        </is>
      </c>
      <c r="C25" s="24" t="inlineStr">
        <is>
          <t>成都武侯中心</t>
        </is>
      </c>
      <c r="D25" s="24" t="inlineStr">
        <is>
          <t>是</t>
        </is>
      </c>
      <c r="E25" s="23" t="inlineStr">
        <is>
          <t>累计迟发1次</t>
        </is>
      </c>
      <c r="F25" s="23" t="inlineStr">
        <is>
          <t>累计未发3次</t>
        </is>
      </c>
    </row>
    <row customHeight="1" ht="15" r="26" s="53">
      <c r="A26" s="24" t="n">
        <v>3</v>
      </c>
      <c r="B26" s="24" t="inlineStr">
        <is>
          <t>四区</t>
        </is>
      </c>
      <c r="C26" s="24" t="inlineStr">
        <is>
          <t>北京方庄中心</t>
        </is>
      </c>
      <c r="D26" s="24" t="inlineStr">
        <is>
          <t>是</t>
        </is>
      </c>
      <c r="F26" s="23" t="inlineStr">
        <is>
          <t>累计未发2次</t>
        </is>
      </c>
    </row>
    <row customHeight="1" ht="15.75" r="27" s="53">
      <c r="A27" s="24" t="n">
        <v>4</v>
      </c>
      <c r="B27" s="24" t="inlineStr">
        <is>
          <t>四区</t>
        </is>
      </c>
      <c r="C27" s="24" t="inlineStr">
        <is>
          <t>北京海淀中心</t>
        </is>
      </c>
      <c r="D27" s="24" t="inlineStr">
        <is>
          <t>是</t>
        </is>
      </c>
      <c r="E27" s="23" t="inlineStr">
        <is>
          <t>累计未发1次</t>
        </is>
      </c>
      <c r="F27" s="23" t="inlineStr">
        <is>
          <t>(换主任前)未发2次，累计未发2次</t>
        </is>
      </c>
    </row>
    <row customHeight="1" ht="15" r="28" s="53">
      <c r="A28" s="24" t="n">
        <v>5</v>
      </c>
      <c r="B28" s="24" t="inlineStr">
        <is>
          <t>四区</t>
        </is>
      </c>
      <c r="C28" s="24" t="inlineStr">
        <is>
          <t>北京双桥中心</t>
        </is>
      </c>
      <c r="D28" s="24" t="inlineStr">
        <is>
          <t>是</t>
        </is>
      </c>
      <c r="E28" s="23" t="inlineStr">
        <is>
          <t>累计迟发1次</t>
        </is>
      </c>
      <c r="F28" s="23" t="inlineStr">
        <is>
          <t>累计未发6次，迟发2次</t>
        </is>
      </c>
    </row>
    <row customHeight="1" ht="15" r="29" s="53">
      <c r="A29" s="24" t="n">
        <v>6</v>
      </c>
      <c r="B29" s="24" t="inlineStr">
        <is>
          <t>四区</t>
        </is>
      </c>
      <c r="C29" s="24" t="inlineStr">
        <is>
          <t>北京望京中心</t>
        </is>
      </c>
      <c r="D29" s="24" t="inlineStr">
        <is>
          <t>是</t>
        </is>
      </c>
      <c r="F29" s="23" t="inlineStr">
        <is>
          <t>累计未发4次，迟发1次</t>
        </is>
      </c>
      <c r="G29" s="23" t="inlineStr">
        <is>
          <t>累计未发1次</t>
        </is>
      </c>
    </row>
    <row customHeight="1" ht="15.75" r="30" s="53">
      <c r="A30" s="24" t="n">
        <v>7</v>
      </c>
      <c r="B30" s="24" t="inlineStr">
        <is>
          <t>四区</t>
        </is>
      </c>
      <c r="C30" s="24" t="inlineStr">
        <is>
          <t>郑州二七中心</t>
        </is>
      </c>
      <c r="D30" s="24" t="inlineStr">
        <is>
          <t>是</t>
        </is>
      </c>
      <c r="E30" s="23" t="inlineStr">
        <is>
          <t>累计未发1次，迟发2次</t>
        </is>
      </c>
      <c r="F30" s="23" t="inlineStr">
        <is>
          <t>累计未发1次，迟发1次</t>
        </is>
      </c>
      <c r="G30" s="23" t="inlineStr">
        <is>
          <t>累计迟发1次</t>
        </is>
      </c>
    </row>
    <row customHeight="1" ht="15.75" r="31" s="53">
      <c r="A31" s="24" t="n">
        <v>8</v>
      </c>
      <c r="B31" s="24" t="inlineStr">
        <is>
          <t>四区</t>
        </is>
      </c>
      <c r="C31" s="24" t="inlineStr">
        <is>
          <t>郑州金水中心</t>
        </is>
      </c>
      <c r="D31" s="24" t="inlineStr">
        <is>
          <t>是</t>
        </is>
      </c>
      <c r="E31" s="23" t="inlineStr">
        <is>
          <t>未发1次，迟发1次</t>
        </is>
      </c>
      <c r="F31" s="23" t="inlineStr">
        <is>
          <t>累计未发3次，迟发2次</t>
        </is>
      </c>
    </row>
    <row customHeight="1" ht="15" r="32" s="53">
      <c r="A32" s="24" t="n">
        <v>1</v>
      </c>
      <c r="B32" s="24" t="inlineStr">
        <is>
          <t>五区</t>
        </is>
      </c>
      <c r="C32" s="24" t="inlineStr">
        <is>
          <t>武汉汉阳中心</t>
        </is>
      </c>
      <c r="D32" s="24" t="inlineStr">
        <is>
          <t>是</t>
        </is>
      </c>
      <c r="F32" s="23" t="inlineStr">
        <is>
          <t>累计迟发1次;（换主任前）累计未发22次，迟发14次</t>
        </is>
      </c>
      <c r="G32" s="23" t="inlineStr">
        <is>
          <t>累计迟发1次</t>
        </is>
      </c>
    </row>
    <row customHeight="1" ht="15" r="33" s="53">
      <c r="A33" s="24" t="n">
        <v>2</v>
      </c>
      <c r="B33" s="24" t="inlineStr">
        <is>
          <t>五区</t>
        </is>
      </c>
      <c r="C33" s="24" t="inlineStr">
        <is>
          <t>武汉香港路中心</t>
        </is>
      </c>
      <c r="D33" s="24" t="inlineStr">
        <is>
          <t>是</t>
        </is>
      </c>
      <c r="F33" s="23" t="inlineStr">
        <is>
          <t>累计迟发3次</t>
        </is>
      </c>
      <c r="G33" s="23" t="inlineStr">
        <is>
          <t>累计迟发1次</t>
        </is>
      </c>
    </row>
    <row customHeight="1" ht="15" r="34" s="53">
      <c r="A34" s="24" t="n">
        <v>3</v>
      </c>
      <c r="B34" s="24" t="inlineStr">
        <is>
          <t>五区</t>
        </is>
      </c>
      <c r="C34" s="24" t="inlineStr">
        <is>
          <t>长沙汇金中心</t>
        </is>
      </c>
      <c r="D34" s="24" t="inlineStr">
        <is>
          <t>是</t>
        </is>
      </c>
      <c r="E34" s="23" t="inlineStr">
        <is>
          <t>累计未发1次，迟发1次</t>
        </is>
      </c>
      <c r="F34" s="23" t="inlineStr">
        <is>
          <t>累计未发7次，迟发3次</t>
        </is>
      </c>
    </row>
    <row customHeight="1" ht="15" r="35" s="53">
      <c r="A35" s="24" t="n">
        <v>4</v>
      </c>
      <c r="B35" s="24" t="inlineStr">
        <is>
          <t>五区</t>
        </is>
      </c>
      <c r="C35" s="24" t="inlineStr">
        <is>
          <t>南昌红谷滩中心</t>
        </is>
      </c>
      <c r="D35" s="24" t="inlineStr">
        <is>
          <t>是</t>
        </is>
      </c>
      <c r="F35" s="23" t="inlineStr">
        <is>
          <t>累计未发2次</t>
        </is>
      </c>
      <c r="G35" s="23" t="inlineStr">
        <is>
          <t>累计未发1次</t>
        </is>
      </c>
    </row>
    <row customHeight="1" ht="15" r="36" s="53">
      <c r="A36" s="24" t="n">
        <v>1</v>
      </c>
      <c r="B36" s="24" t="inlineStr">
        <is>
          <t>六区</t>
        </is>
      </c>
      <c r="C36" s="24" t="inlineStr">
        <is>
          <t>杭州花园岗中心</t>
        </is>
      </c>
      <c r="D36" s="24" t="inlineStr">
        <is>
          <t>是</t>
        </is>
      </c>
      <c r="E36" s="23" t="inlineStr">
        <is>
          <t>累计未发1次，迟发1次</t>
        </is>
      </c>
      <c r="F36" s="23" t="inlineStr">
        <is>
          <t>累计未发5次，迟发4次；(换主任1前)迟发3次，未发1次；(换主任2前)累计未发2次，迟发1次</t>
        </is>
      </c>
    </row>
    <row customHeight="1" ht="15" r="37" s="53">
      <c r="A37" s="24" t="n">
        <v>2</v>
      </c>
      <c r="B37" s="24" t="inlineStr">
        <is>
          <t>六区</t>
        </is>
      </c>
      <c r="C37" s="24" t="inlineStr">
        <is>
          <t>宁波中心</t>
        </is>
      </c>
      <c r="D37" s="24" t="inlineStr">
        <is>
          <t>是</t>
        </is>
      </c>
      <c r="E37" s="23" t="inlineStr">
        <is>
          <t>未发1次</t>
        </is>
      </c>
      <c r="F37" s="23" t="inlineStr">
        <is>
          <t>累计未发1次；(换主任前)累计未发2次，累计迟发5次</t>
        </is>
      </c>
      <c r="G37" s="23" t="inlineStr">
        <is>
          <t>累计迟发1次</t>
        </is>
      </c>
    </row>
    <row customHeight="1" ht="15" r="38" s="53">
      <c r="A38" s="24" t="n">
        <v>3</v>
      </c>
      <c r="B38" s="24" t="inlineStr">
        <is>
          <t>六区</t>
        </is>
      </c>
      <c r="C38" s="24" t="inlineStr">
        <is>
          <t>杭州滨江中心</t>
        </is>
      </c>
      <c r="D38" s="24" t="inlineStr">
        <is>
          <t>是</t>
        </is>
      </c>
      <c r="F38" s="23" t="inlineStr">
        <is>
          <t>累计未发2次，迟发3次</t>
        </is>
      </c>
      <c r="G38" s="23" t="inlineStr">
        <is>
          <t>累计未发1次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2026-03-25T09:11:06Z</dcterms:created>
  <dcterms:modified xsi:type="dcterms:W3CDTF">2026-03-30T00:55:37Z</dcterms:modified>
  <cp:lastModifiedBy>Linxz</cp:lastModifiedBy>
</cp:coreProperties>
</file>