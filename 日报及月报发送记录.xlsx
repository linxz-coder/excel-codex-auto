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953A1A89-969C-4049-959A-DC274F5E87D3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H13" i="5"/>
  <c r="K12" i="5"/>
  <c r="H12" i="5"/>
  <c r="K11" i="5"/>
  <c r="M5" i="5" s="1"/>
  <c r="H11" i="5"/>
  <c r="K10" i="5"/>
  <c r="H10" i="5"/>
  <c r="K9" i="5"/>
  <c r="H9" i="5"/>
  <c r="K8" i="5"/>
  <c r="M4" i="5" s="1"/>
  <c r="H8" i="5"/>
  <c r="K7" i="5"/>
  <c r="H7" i="5"/>
  <c r="M6" i="5"/>
  <c r="K6" i="5"/>
  <c r="H6" i="5"/>
  <c r="K5" i="5"/>
  <c r="K2" i="5" s="1"/>
  <c r="H5" i="5"/>
  <c r="K4" i="5"/>
  <c r="H4" i="5"/>
  <c r="H2" i="5" s="1"/>
  <c r="K3" i="5"/>
  <c r="M3" i="5" s="1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V11" i="4" s="1"/>
  <c r="O11" i="4"/>
  <c r="V10" i="4"/>
  <c r="T10" i="4"/>
  <c r="O10" i="4"/>
  <c r="T9" i="4"/>
  <c r="O9" i="4"/>
  <c r="T8" i="4"/>
  <c r="O8" i="4"/>
  <c r="T7" i="4"/>
  <c r="V7" i="4" s="1"/>
  <c r="O7" i="4"/>
  <c r="V6" i="4"/>
  <c r="T6" i="4"/>
  <c r="O6" i="4"/>
  <c r="T5" i="4"/>
  <c r="V5" i="4" s="1"/>
  <c r="O5" i="4"/>
  <c r="T4" i="4"/>
  <c r="T2" i="4" s="1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T2" i="3"/>
  <c r="H16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M7" i="2"/>
  <c r="K7" i="2"/>
  <c r="H7" i="2"/>
  <c r="M6" i="2"/>
  <c r="K6" i="2"/>
  <c r="H6" i="2"/>
  <c r="O5" i="2"/>
  <c r="M5" i="2"/>
  <c r="O4" i="2" s="1"/>
  <c r="K5" i="2"/>
  <c r="H5" i="2"/>
  <c r="M4" i="2"/>
  <c r="K4" i="2"/>
  <c r="H4" i="2"/>
  <c r="M3" i="2"/>
  <c r="O3" i="2" s="1"/>
  <c r="K3" i="2"/>
  <c r="K2" i="2" s="1"/>
  <c r="H3" i="2"/>
  <c r="H2" i="2" s="1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M3" i="1" s="1"/>
  <c r="H7" i="1"/>
  <c r="K6" i="1"/>
  <c r="H6" i="1"/>
  <c r="K5" i="1"/>
  <c r="H5" i="1"/>
  <c r="M4" i="1"/>
  <c r="K4" i="1"/>
  <c r="H4" i="1"/>
  <c r="K3" i="1"/>
  <c r="H3" i="1"/>
  <c r="K2" i="1"/>
  <c r="K1" i="1" s="1"/>
  <c r="H2" i="1"/>
  <c r="H1" i="1" s="1"/>
  <c r="V3" i="4" l="1"/>
  <c r="M2" i="1"/>
</calcChain>
</file>

<file path=xl/sharedStrings.xml><?xml version="1.0" encoding="utf-8"?>
<sst xmlns="http://schemas.openxmlformats.org/spreadsheetml/2006/main" count="1262" uniqueCount="209">
  <si>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</si>
  <si>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</si>
  <si>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</si>
  <si>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</si>
  <si>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</si>
  <si>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</si>
  <si>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</si>
  <si>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</si>
  <si>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</si>
  <si>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</si>
  <si>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</si>
  <si>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</si>
  <si>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</si>
  <si>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</si>
  <si>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</si>
  <si>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</si>
  <si>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</si>
  <si>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</si>
  <si>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</si>
  <si>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</si>
  <si>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</si>
  <si>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</si>
  <si>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</si>
  <si>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</si>
  <si>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</si>
  <si>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</si>
  <si>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</si>
  <si>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</si>
  <si>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</si>
  <si>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</si>
  <si>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</si>
  <si>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</si>
  <si>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</si>
  <si>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</si>
  <si>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</si>
  <si>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</si>
  <si>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</si>
  <si>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</si>
  <si>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</si>
  <si>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</si>
  <si>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</si>
  <si>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</si>
  <si>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</si>
  <si>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</si>
  <si>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</si>
  <si>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</si>
  <si>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</si>
  <si>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</si>
  <si>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</si>
  <si>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</si>
  <si>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</si>
  <si>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</si>
  <si>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</si>
  <si>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</si>
  <si>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</si>
  <si>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</si>
  <si>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</si>
  <si>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</si>
  <si>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</si>
  <si>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</si>
  <si>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</si>
  <si>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</si>
  <si>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</si>
  <si>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</si>
  <si>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</si>
  <si>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</si>
  <si>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</si>
  <si>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</si>
  <si>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</si>
  <si>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</si>
  <si>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</si>
  <si>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</si>
  <si>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</si>
  <si>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</si>
  <si>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</si>
  <si>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</si>
  <si>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</si>
  <si>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</si>
  <si>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</si>
  <si>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</si>
  <si>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</si>
  <si>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</si>
  <si>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</si>
  <si>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</si>
  <si>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</si>
  <si>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</si>
  <si>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</si>
  <si>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</si>
  <si>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</si>
  <si>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</si>
  <si>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</si>
  <si>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</si>
  <si>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</si>
  <si>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</si>
  <si>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</si>
  <si>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</si>
  <si>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</si>
  <si>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</si>
  <si>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</si>
  <si>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</si>
  <si>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</si>
  <si>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</si>
  <si>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</si>
  <si>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</si>
  <si>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</si>
  <si>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</si>
  <si>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</si>
  <si>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</si>
  <si>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</si>
  <si>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</si>
  <si>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</si>
  <si>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</si>
  <si>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</si>
  <si>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</si>
  <si>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</si>
  <si>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</si>
  <si>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</si>
  <si>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</si>
  <si>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</si>
  <si>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</si>
  <si>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</si>
  <si>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</si>
  <si>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</si>
  <si>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</si>
  <si>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</si>
  <si>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</si>
  <si>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</t>
  </si>
  <si>
    <t>粤西区</t>
  </si>
  <si>
    <t>迟发1次</t>
  </si>
  <si>
    <t>华东分公司</t>
  </si>
  <si>
    <t>华北分公司</t>
  </si>
  <si>
    <t>迟发4次</t>
  </si>
  <si>
    <t>粤西五区</t>
  </si>
  <si>
    <t>佛山顺德中心</t>
  </si>
  <si>
    <t>苏州吴江中心</t>
  </si>
  <si>
    <t>上海金桥中心</t>
  </si>
  <si>
    <t>宁波鄞州中心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</si>
  <si>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</si>
  <si>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</si>
  <si>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</si>
  <si>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</si>
  <si>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</si>
  <si>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</si>
  <si>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</si>
  <si>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</si>
  <si>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</si>
  <si>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</si>
  <si>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</si>
  <si>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</si>
  <si>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</si>
  <si>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</si>
  <si>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</si>
  <si>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</si>
  <si>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</si>
  <si>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</si>
  <si>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</si>
  <si>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</si>
  <si>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</si>
  <si>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</si>
  <si>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</si>
  <si>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</si>
  <si>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</si>
  <si>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</si>
  <si>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</si>
  <si>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</si>
  <si>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</si>
  <si>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</si>
  <si>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累计未发4次</t>
  </si>
  <si>
    <t>累计未发1次，迟发3次</t>
  </si>
  <si>
    <t>累计迟发2次</t>
  </si>
  <si>
    <t>累计未发3次，迟发3次</t>
  </si>
  <si>
    <t>请病假4天</t>
  </si>
  <si>
    <t>累计未发2次，迟发5次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</si>
  <si>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</si>
  <si>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</si>
  <si>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</si>
  <si>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</si>
  <si>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</si>
  <si>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</si>
  <si>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</si>
  <si>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</si>
  <si>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</si>
  <si>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</si>
  <si>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</si>
  <si>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</si>
  <si>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</si>
  <si>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</si>
  <si>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</si>
  <si>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</si>
  <si>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</si>
  <si>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</si>
  <si>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</si>
  <si>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</si>
  <si>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</si>
  <si>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</si>
  <si>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</si>
  <si>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</si>
  <si>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</si>
  <si>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</si>
  <si>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</si>
  <si>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</si>
  <si>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</si>
  <si>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</si>
  <si>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</si>
  <si>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</si>
  <si>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</si>
  <si>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</si>
  <si>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</si>
  <si>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迟发2次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</si>
</sst>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3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0" fillId="0" borderId="7" xfId="0" applyFill="1">
      <alignment vertical="center"/>
    </xf>
    <xf numFmtId="0" fontId="4" fillId="2" borderId="19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62"/>
  <sheetViews>
    <sheetView tabSelected="1" topLeftCell="A7" workbookViewId="0">
      <selection activeCell="D30" sqref="D30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46210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SUM(H3:H107)</f>
        <v>58</v>
      </c>
      <c r="J2" s="64" t="s">
        <v>6</v>
      </c>
      <c r="K2" s="62">
        <f>SUM(K3:K107)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4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125</v>
      </c>
      <c r="M3" s="35">
        <f>COUNTIF(F:F,L3)</f>
        <v>11</v>
      </c>
      <c r="N3" t="s">
        <v>126</v>
      </c>
      <c r="O3">
        <f>M3+M4</f>
        <v>24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127</v>
      </c>
      <c r="M4" s="35">
        <f>COUNTIF(F:F,L4)</f>
        <v>13</v>
      </c>
      <c r="N4" t="s">
        <v>17</v>
      </c>
      <c r="O4">
        <f>M5+M6</f>
        <v>20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 t="s">
        <v>128</v>
      </c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COUNTIF(F:F,L5)</f>
        <v>13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 t="s">
        <v>28</v>
      </c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COUNTIF(F:F,L6)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130</v>
      </c>
      <c r="M7" s="35">
        <f>COUNTIF(F:F,L7)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 t="s">
        <v>131</v>
      </c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 t="s">
        <v>131</v>
      </c>
      <c r="E10" s="69"/>
      <c r="F10" s="63" t="s">
        <v>125</v>
      </c>
      <c r="G10" s="48" t="s">
        <v>40</v>
      </c>
      <c r="H10" s="23">
        <f t="shared" si="0"/>
        <v>7</v>
      </c>
      <c r="J10" s="61" t="s">
        <v>40</v>
      </c>
      <c r="K10" s="62">
        <f t="shared" si="1"/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 t="s">
        <v>128</v>
      </c>
      <c r="E11" s="69"/>
      <c r="F11" s="63" t="s">
        <v>127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127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127</v>
      </c>
      <c r="G13" s="48" t="s">
        <v>49</v>
      </c>
      <c r="H13" s="23">
        <f t="shared" si="0"/>
        <v>0</v>
      </c>
      <c r="J13" s="63" t="s">
        <v>132</v>
      </c>
      <c r="K13" s="62">
        <f>COUNTIFS($A:$A,$G16,$C:$C,"&lt;&gt;新中心")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 t="s">
        <v>10</v>
      </c>
      <c r="E14" s="69"/>
      <c r="F14" s="63" t="s">
        <v>127</v>
      </c>
      <c r="G14" s="48" t="s">
        <v>51</v>
      </c>
      <c r="H14" s="23">
        <f t="shared" si="0"/>
        <v>0</v>
      </c>
    </row>
    <row r="15" spans="1:15" s="78" customFormat="1" ht="16.5" customHeight="1">
      <c r="A15" s="61" t="s">
        <v>127</v>
      </c>
      <c r="B15" s="61" t="s">
        <v>133</v>
      </c>
      <c r="C15" s="61" t="s">
        <v>9</v>
      </c>
      <c r="D15" s="70" t="s">
        <v>10</v>
      </c>
      <c r="E15" s="69"/>
      <c r="F15" s="63" t="s">
        <v>127</v>
      </c>
      <c r="G15" s="79"/>
      <c r="H15" s="23"/>
      <c r="J15" s="67"/>
    </row>
    <row r="16" spans="1:15" ht="16.5" customHeight="1">
      <c r="A16" s="61" t="s">
        <v>20</v>
      </c>
      <c r="B16" s="61" t="s">
        <v>52</v>
      </c>
      <c r="C16" s="61" t="s">
        <v>9</v>
      </c>
      <c r="D16" s="70"/>
      <c r="E16" s="69"/>
      <c r="F16" s="63" t="s">
        <v>127</v>
      </c>
      <c r="G16" s="66" t="s">
        <v>132</v>
      </c>
      <c r="H16" s="23">
        <f>COUNTIF($A:$A,$G16)</f>
        <v>4</v>
      </c>
    </row>
    <row r="17" spans="1:10" ht="16.5" customHeight="1">
      <c r="A17" s="61" t="s">
        <v>25</v>
      </c>
      <c r="B17" s="61" t="s">
        <v>54</v>
      </c>
      <c r="C17" s="61" t="s">
        <v>9</v>
      </c>
      <c r="D17" s="68"/>
      <c r="E17" s="69"/>
      <c r="F17" s="63" t="s">
        <v>127</v>
      </c>
      <c r="G17" s="67"/>
    </row>
    <row r="18" spans="1:10" ht="16.5" customHeight="1">
      <c r="A18" s="61" t="s">
        <v>25</v>
      </c>
      <c r="B18" s="61" t="s">
        <v>55</v>
      </c>
      <c r="C18" s="61" t="s">
        <v>9</v>
      </c>
      <c r="D18" s="68"/>
      <c r="E18" s="69"/>
      <c r="F18" s="63" t="s">
        <v>127</v>
      </c>
      <c r="G18" s="67"/>
    </row>
    <row r="19" spans="1:10" ht="16.5" customHeight="1">
      <c r="A19" s="61" t="s">
        <v>25</v>
      </c>
      <c r="B19" s="61" t="s">
        <v>56</v>
      </c>
      <c r="C19" s="61" t="s">
        <v>9</v>
      </c>
      <c r="D19" s="68" t="s">
        <v>28</v>
      </c>
      <c r="E19" s="69"/>
      <c r="F19" s="63" t="s">
        <v>127</v>
      </c>
      <c r="G19" s="67"/>
    </row>
    <row r="20" spans="1:10" ht="16.5" customHeight="1">
      <c r="A20" s="61" t="s">
        <v>29</v>
      </c>
      <c r="B20" s="61" t="s">
        <v>58</v>
      </c>
      <c r="C20" s="61" t="s">
        <v>9</v>
      </c>
      <c r="D20" s="68"/>
      <c r="E20" s="69"/>
      <c r="F20" s="63" t="s">
        <v>129</v>
      </c>
      <c r="G20" s="67"/>
    </row>
    <row r="21" spans="1:10" ht="16.5" customHeight="1">
      <c r="A21" s="61" t="s">
        <v>29</v>
      </c>
      <c r="B21" s="61" t="s">
        <v>60</v>
      </c>
      <c r="C21" s="61" t="s">
        <v>9</v>
      </c>
      <c r="D21" s="73"/>
      <c r="E21" s="69"/>
      <c r="F21" s="63" t="s">
        <v>129</v>
      </c>
      <c r="G21" s="67"/>
    </row>
    <row r="22" spans="1:10" ht="16.5" customHeight="1">
      <c r="A22" s="61" t="s">
        <v>29</v>
      </c>
      <c r="B22" s="61" t="s">
        <v>61</v>
      </c>
      <c r="C22" s="61" t="s">
        <v>9</v>
      </c>
      <c r="D22" s="70"/>
      <c r="E22" s="69"/>
      <c r="F22" s="63" t="s">
        <v>129</v>
      </c>
      <c r="G22" s="67"/>
    </row>
    <row r="23" spans="1:10" ht="16.5" customHeight="1">
      <c r="A23" s="61" t="s">
        <v>29</v>
      </c>
      <c r="B23" s="61" t="s">
        <v>63</v>
      </c>
      <c r="C23" s="61" t="s">
        <v>9</v>
      </c>
      <c r="D23" s="74"/>
      <c r="E23" s="69"/>
      <c r="F23" s="63" t="s">
        <v>129</v>
      </c>
      <c r="G23" s="67"/>
    </row>
    <row r="24" spans="1:10" ht="16.5" customHeight="1">
      <c r="A24" s="61" t="s">
        <v>29</v>
      </c>
      <c r="B24" s="61" t="s">
        <v>65</v>
      </c>
      <c r="C24" s="75" t="s">
        <v>9</v>
      </c>
      <c r="D24" s="68"/>
      <c r="E24" s="69"/>
      <c r="F24" s="63" t="s">
        <v>129</v>
      </c>
      <c r="G24" s="67"/>
    </row>
    <row r="25" spans="1:10" s="78" customFormat="1" ht="16.5" customHeight="1">
      <c r="A25" s="61" t="s">
        <v>129</v>
      </c>
      <c r="B25" s="61" t="s">
        <v>134</v>
      </c>
      <c r="C25" s="75" t="s">
        <v>9</v>
      </c>
      <c r="D25" s="68"/>
      <c r="E25" s="69"/>
      <c r="F25" s="63" t="s">
        <v>129</v>
      </c>
      <c r="G25" s="67"/>
      <c r="H25" s="67"/>
      <c r="J25" s="67"/>
    </row>
    <row r="26" spans="1:10" s="78" customFormat="1" ht="16.5" customHeight="1">
      <c r="A26" s="61" t="s">
        <v>129</v>
      </c>
      <c r="B26" s="61" t="s">
        <v>135</v>
      </c>
      <c r="C26" s="75" t="s">
        <v>9</v>
      </c>
      <c r="D26" s="68" t="s">
        <v>128</v>
      </c>
      <c r="E26" s="69"/>
      <c r="F26" s="63" t="s">
        <v>129</v>
      </c>
      <c r="G26" s="67"/>
      <c r="H26" s="67"/>
      <c r="J26" s="67"/>
    </row>
    <row r="27" spans="1:10" ht="16.5" customHeight="1">
      <c r="A27" s="61" t="s">
        <v>34</v>
      </c>
      <c r="B27" s="61" t="s">
        <v>67</v>
      </c>
      <c r="C27" s="75" t="s">
        <v>9</v>
      </c>
      <c r="D27" s="71" t="s">
        <v>128</v>
      </c>
      <c r="E27" s="69"/>
      <c r="F27" s="63" t="s">
        <v>129</v>
      </c>
      <c r="G27" s="67"/>
    </row>
    <row r="28" spans="1:10" ht="16.5" customHeight="1">
      <c r="A28" s="61" t="s">
        <v>34</v>
      </c>
      <c r="B28" s="61" t="s">
        <v>68</v>
      </c>
      <c r="C28" s="75" t="s">
        <v>9</v>
      </c>
      <c r="D28" s="71"/>
      <c r="E28" s="69"/>
      <c r="F28" s="63" t="s">
        <v>129</v>
      </c>
      <c r="G28" s="67"/>
    </row>
    <row r="29" spans="1:10" ht="16.5" customHeight="1">
      <c r="A29" s="61" t="s">
        <v>34</v>
      </c>
      <c r="B29" s="61" t="s">
        <v>70</v>
      </c>
      <c r="C29" s="75" t="s">
        <v>9</v>
      </c>
      <c r="D29" s="70"/>
      <c r="E29" s="69"/>
      <c r="F29" s="63" t="s">
        <v>129</v>
      </c>
      <c r="G29" s="67"/>
    </row>
    <row r="30" spans="1:10" ht="16.5" customHeight="1">
      <c r="A30" s="61" t="s">
        <v>37</v>
      </c>
      <c r="B30" s="61" t="s">
        <v>71</v>
      </c>
      <c r="C30" s="75" t="s">
        <v>9</v>
      </c>
      <c r="D30" s="68" t="s">
        <v>208</v>
      </c>
      <c r="E30" s="69"/>
      <c r="F30" s="63" t="s">
        <v>129</v>
      </c>
      <c r="G30" s="67"/>
    </row>
    <row r="31" spans="1:10" ht="16.5" customHeight="1">
      <c r="A31" s="61" t="s">
        <v>37</v>
      </c>
      <c r="B31" s="63" t="s">
        <v>74</v>
      </c>
      <c r="C31" s="75" t="s">
        <v>9</v>
      </c>
      <c r="D31" s="71" t="s">
        <v>10</v>
      </c>
      <c r="E31" s="69"/>
      <c r="F31" s="63" t="s">
        <v>129</v>
      </c>
      <c r="G31" s="67"/>
    </row>
    <row r="32" spans="1:10" ht="16.5" customHeight="1">
      <c r="A32" s="61" t="s">
        <v>37</v>
      </c>
      <c r="B32" s="61" t="s">
        <v>76</v>
      </c>
      <c r="C32" s="75" t="s">
        <v>9</v>
      </c>
      <c r="D32" s="71"/>
      <c r="E32" s="69"/>
      <c r="F32" s="63" t="s">
        <v>129</v>
      </c>
      <c r="G32" s="67"/>
    </row>
    <row r="33" spans="1:7" ht="16.5" customHeight="1">
      <c r="A33" s="61" t="s">
        <v>40</v>
      </c>
      <c r="B33" s="61" t="s">
        <v>78</v>
      </c>
      <c r="C33" s="75" t="s">
        <v>9</v>
      </c>
      <c r="D33" s="71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79</v>
      </c>
      <c r="C34" s="75" t="s">
        <v>9</v>
      </c>
      <c r="D34" s="71" t="s">
        <v>10</v>
      </c>
      <c r="E34" s="69"/>
      <c r="F34" s="63" t="s">
        <v>40</v>
      </c>
      <c r="G34" s="67"/>
    </row>
    <row r="35" spans="1:7" ht="16.5" customHeight="1">
      <c r="A35" s="61" t="s">
        <v>40</v>
      </c>
      <c r="B35" s="61" t="s">
        <v>81</v>
      </c>
      <c r="C35" s="75" t="s">
        <v>9</v>
      </c>
      <c r="D35" s="71"/>
      <c r="E35" s="69"/>
      <c r="F35" s="63" t="s">
        <v>40</v>
      </c>
      <c r="G35" s="67"/>
    </row>
    <row r="36" spans="1:7" ht="16.5" customHeight="1">
      <c r="A36" s="61" t="s">
        <v>40</v>
      </c>
      <c r="B36" s="61" t="s">
        <v>136</v>
      </c>
      <c r="C36" s="75" t="s">
        <v>9</v>
      </c>
      <c r="D36" s="73" t="s">
        <v>28</v>
      </c>
      <c r="E36" s="69"/>
      <c r="F36" s="63" t="s">
        <v>40</v>
      </c>
      <c r="G36" s="67"/>
    </row>
    <row r="37" spans="1:7" ht="16.5" customHeight="1">
      <c r="A37" s="61" t="s">
        <v>40</v>
      </c>
      <c r="B37" s="61" t="s">
        <v>85</v>
      </c>
      <c r="C37" s="75" t="s">
        <v>9</v>
      </c>
      <c r="D37" s="71"/>
      <c r="E37" s="69"/>
      <c r="F37" s="63" t="s">
        <v>40</v>
      </c>
      <c r="G37" s="67"/>
    </row>
    <row r="38" spans="1:7" ht="16.5" customHeight="1">
      <c r="A38" s="61" t="s">
        <v>43</v>
      </c>
      <c r="B38" s="61" t="s">
        <v>87</v>
      </c>
      <c r="C38" s="75" t="s">
        <v>9</v>
      </c>
      <c r="D38" s="70" t="s">
        <v>77</v>
      </c>
      <c r="E38" s="69"/>
      <c r="F38" s="63" t="s">
        <v>130</v>
      </c>
      <c r="G38" s="67"/>
    </row>
    <row r="39" spans="1:7" ht="16.5" customHeight="1">
      <c r="A39" s="61" t="s">
        <v>43</v>
      </c>
      <c r="B39" s="61" t="s">
        <v>90</v>
      </c>
      <c r="C39" s="75" t="s">
        <v>9</v>
      </c>
      <c r="D39" s="70"/>
      <c r="E39" s="69"/>
      <c r="F39" s="63" t="s">
        <v>130</v>
      </c>
      <c r="G39" s="67"/>
    </row>
    <row r="40" spans="1:7" ht="16.5" customHeight="1">
      <c r="A40" s="61" t="s">
        <v>43</v>
      </c>
      <c r="B40" s="61" t="s">
        <v>91</v>
      </c>
      <c r="C40" s="75" t="s">
        <v>9</v>
      </c>
      <c r="D40" s="68"/>
      <c r="E40" s="69"/>
      <c r="F40" s="63" t="s">
        <v>130</v>
      </c>
      <c r="G40" s="67"/>
    </row>
    <row r="41" spans="1:7" ht="16.5" customHeight="1">
      <c r="A41" s="61" t="s">
        <v>43</v>
      </c>
      <c r="B41" s="61" t="s">
        <v>93</v>
      </c>
      <c r="C41" s="75" t="s">
        <v>9</v>
      </c>
      <c r="D41" s="71" t="s">
        <v>10</v>
      </c>
      <c r="E41" s="69"/>
      <c r="F41" s="63" t="s">
        <v>130</v>
      </c>
      <c r="G41" s="67"/>
    </row>
    <row r="42" spans="1:7" ht="16.5" customHeight="1">
      <c r="A42" s="61" t="s">
        <v>43</v>
      </c>
      <c r="B42" s="61" t="s">
        <v>95</v>
      </c>
      <c r="C42" s="75" t="s">
        <v>9</v>
      </c>
      <c r="D42" s="68"/>
      <c r="E42" s="69"/>
      <c r="F42" s="63" t="s">
        <v>130</v>
      </c>
      <c r="G42" s="67"/>
    </row>
    <row r="43" spans="1:7" ht="16.5" customHeight="1">
      <c r="A43" s="61" t="s">
        <v>43</v>
      </c>
      <c r="B43" s="61" t="s">
        <v>96</v>
      </c>
      <c r="C43" s="75" t="s">
        <v>9</v>
      </c>
      <c r="D43" s="68" t="s">
        <v>128</v>
      </c>
      <c r="E43" s="69"/>
      <c r="F43" s="63" t="s">
        <v>130</v>
      </c>
      <c r="G43" s="67"/>
    </row>
    <row r="44" spans="1:7" ht="16.5" customHeight="1">
      <c r="A44" s="61" t="s">
        <v>43</v>
      </c>
      <c r="B44" s="61" t="s">
        <v>97</v>
      </c>
      <c r="C44" s="75" t="s">
        <v>9</v>
      </c>
      <c r="D44" s="71"/>
      <c r="E44" s="69"/>
      <c r="F44" s="63" t="s">
        <v>130</v>
      </c>
      <c r="G44" s="67"/>
    </row>
    <row r="45" spans="1:7" ht="16.5" customHeight="1">
      <c r="A45" s="61" t="s">
        <v>43</v>
      </c>
      <c r="B45" s="61" t="s">
        <v>137</v>
      </c>
      <c r="C45" s="75" t="s">
        <v>9</v>
      </c>
      <c r="D45" s="71" t="s">
        <v>10</v>
      </c>
      <c r="E45" s="69"/>
      <c r="F45" s="63" t="s">
        <v>130</v>
      </c>
      <c r="G45" s="67"/>
    </row>
    <row r="46" spans="1:7" ht="16.5" customHeight="1">
      <c r="A46" s="61" t="s">
        <v>43</v>
      </c>
      <c r="B46" s="61" t="s">
        <v>98</v>
      </c>
      <c r="C46" s="75" t="s">
        <v>9</v>
      </c>
      <c r="D46" s="71"/>
      <c r="E46" s="69"/>
      <c r="F46" s="63" t="s">
        <v>130</v>
      </c>
      <c r="G46" s="67"/>
    </row>
    <row r="47" spans="1:7" ht="16.5" customHeight="1">
      <c r="A47" s="61" t="s">
        <v>43</v>
      </c>
      <c r="B47" s="61" t="s">
        <v>99</v>
      </c>
      <c r="C47" s="75" t="s">
        <v>9</v>
      </c>
      <c r="D47" s="68" t="s">
        <v>10</v>
      </c>
      <c r="E47" s="71"/>
      <c r="F47" s="63" t="s">
        <v>130</v>
      </c>
      <c r="G47" s="67"/>
    </row>
    <row r="48" spans="1:7" ht="16.5" customHeight="1">
      <c r="A48" s="61" t="s">
        <v>43</v>
      </c>
      <c r="B48" s="61" t="s">
        <v>138</v>
      </c>
      <c r="C48" s="75" t="s">
        <v>9</v>
      </c>
      <c r="D48" s="71"/>
      <c r="E48" s="69"/>
      <c r="F48" s="63" t="s">
        <v>130</v>
      </c>
      <c r="G48" s="67"/>
    </row>
    <row r="49" spans="1:7" ht="16.5" customHeight="1">
      <c r="A49" s="61" t="s">
        <v>45</v>
      </c>
      <c r="B49" s="61" t="s">
        <v>101</v>
      </c>
      <c r="C49" s="75" t="s">
        <v>9</v>
      </c>
      <c r="D49" s="71" t="s">
        <v>10</v>
      </c>
      <c r="E49" s="69"/>
      <c r="F49" s="63" t="s">
        <v>130</v>
      </c>
      <c r="G49" s="67"/>
    </row>
    <row r="50" spans="1:7" ht="16.5" customHeight="1">
      <c r="A50" s="61" t="s">
        <v>45</v>
      </c>
      <c r="B50" s="61" t="s">
        <v>102</v>
      </c>
      <c r="C50" s="75" t="s">
        <v>9</v>
      </c>
      <c r="D50" s="71"/>
      <c r="E50" s="69"/>
      <c r="F50" s="63" t="s">
        <v>130</v>
      </c>
      <c r="G50" s="67"/>
    </row>
    <row r="51" spans="1:7" ht="16.5" customHeight="1">
      <c r="A51" s="61" t="s">
        <v>45</v>
      </c>
      <c r="B51" s="61" t="s">
        <v>104</v>
      </c>
      <c r="C51" s="75" t="s">
        <v>9</v>
      </c>
      <c r="D51" s="71"/>
      <c r="E51" s="69"/>
      <c r="F51" s="63" t="s">
        <v>130</v>
      </c>
      <c r="G51" s="67"/>
    </row>
    <row r="52" spans="1:7" ht="16.5" customHeight="1">
      <c r="A52" s="61" t="s">
        <v>45</v>
      </c>
      <c r="B52" s="61" t="s">
        <v>139</v>
      </c>
      <c r="C52" s="75" t="s">
        <v>9</v>
      </c>
      <c r="D52" s="71"/>
      <c r="E52" s="69"/>
      <c r="F52" s="63" t="s">
        <v>130</v>
      </c>
      <c r="G52" s="67"/>
    </row>
    <row r="53" spans="1:7" ht="16" customHeight="1">
      <c r="A53" s="72" t="s">
        <v>16</v>
      </c>
      <c r="B53" s="72" t="s">
        <v>140</v>
      </c>
      <c r="C53" s="76" t="s">
        <v>9</v>
      </c>
      <c r="D53" s="70" t="s">
        <v>10</v>
      </c>
      <c r="E53" s="69"/>
      <c r="F53" s="63" t="s">
        <v>125</v>
      </c>
      <c r="G53" s="67"/>
    </row>
    <row r="54" spans="1:7" ht="16.5" customHeight="1">
      <c r="A54" s="58" t="s">
        <v>7</v>
      </c>
      <c r="B54" s="58" t="s">
        <v>141</v>
      </c>
      <c r="C54" s="59" t="s">
        <v>9</v>
      </c>
      <c r="D54" s="70"/>
      <c r="E54" s="69"/>
      <c r="F54" s="63" t="s">
        <v>125</v>
      </c>
      <c r="G54" s="67"/>
    </row>
    <row r="55" spans="1:7" ht="16.5" customHeight="1">
      <c r="A55" s="58" t="s">
        <v>40</v>
      </c>
      <c r="B55" s="58" t="s">
        <v>142</v>
      </c>
      <c r="C55" s="59" t="s">
        <v>9</v>
      </c>
      <c r="D55" s="70" t="s">
        <v>10</v>
      </c>
      <c r="E55" s="69"/>
      <c r="F55" s="63" t="s">
        <v>40</v>
      </c>
      <c r="G55" s="67"/>
    </row>
    <row r="56" spans="1:7" ht="16.5" customHeight="1">
      <c r="A56" s="58" t="s">
        <v>45</v>
      </c>
      <c r="B56" s="58" t="s">
        <v>143</v>
      </c>
      <c r="C56" s="59" t="s">
        <v>9</v>
      </c>
      <c r="D56" s="70"/>
      <c r="E56" s="69"/>
      <c r="F56" s="63" t="s">
        <v>130</v>
      </c>
      <c r="G56" s="67"/>
    </row>
    <row r="57" spans="1:7" ht="16.5" customHeight="1">
      <c r="A57" s="58" t="s">
        <v>45</v>
      </c>
      <c r="B57" s="58" t="s">
        <v>144</v>
      </c>
      <c r="C57" s="59" t="s">
        <v>9</v>
      </c>
      <c r="D57" s="68" t="s">
        <v>10</v>
      </c>
      <c r="E57" s="69"/>
      <c r="F57" s="63" t="s">
        <v>130</v>
      </c>
      <c r="G57" s="67"/>
    </row>
    <row r="58" spans="1:7" ht="16.5" customHeight="1">
      <c r="A58" s="60" t="s">
        <v>132</v>
      </c>
      <c r="B58" s="60" t="s">
        <v>145</v>
      </c>
      <c r="C58" s="59" t="s">
        <v>9</v>
      </c>
      <c r="D58" s="68" t="s">
        <v>128</v>
      </c>
      <c r="E58" s="69"/>
      <c r="F58" s="63" t="s">
        <v>127</v>
      </c>
      <c r="G58" s="67"/>
    </row>
    <row r="59" spans="1:7" ht="16.5" customHeight="1">
      <c r="A59" s="60" t="s">
        <v>132</v>
      </c>
      <c r="B59" s="60" t="s">
        <v>146</v>
      </c>
      <c r="C59" s="59" t="s">
        <v>9</v>
      </c>
      <c r="D59" s="68"/>
      <c r="E59" s="69"/>
      <c r="F59" s="63" t="s">
        <v>127</v>
      </c>
      <c r="G59" s="67"/>
    </row>
    <row r="60" spans="1:7" ht="16.5" customHeight="1">
      <c r="A60" s="60" t="s">
        <v>132</v>
      </c>
      <c r="B60" s="60" t="s">
        <v>147</v>
      </c>
      <c r="C60" s="59" t="s">
        <v>9</v>
      </c>
      <c r="D60" s="68"/>
      <c r="E60" s="69"/>
      <c r="F60" s="63" t="s">
        <v>127</v>
      </c>
      <c r="G60" s="67"/>
    </row>
    <row r="61" spans="1:7" ht="16.5" customHeight="1">
      <c r="A61" s="60" t="s">
        <v>132</v>
      </c>
      <c r="B61" s="60" t="s">
        <v>148</v>
      </c>
      <c r="C61" s="59" t="s">
        <v>9</v>
      </c>
      <c r="D61" s="68"/>
      <c r="E61" s="69"/>
      <c r="F61" s="63" t="s">
        <v>127</v>
      </c>
      <c r="G61" s="67"/>
    </row>
    <row r="62" spans="1:7" ht="16" customHeight="1">
      <c r="A62" s="60" t="s">
        <v>7</v>
      </c>
      <c r="B62" s="60" t="s">
        <v>149</v>
      </c>
      <c r="C62" s="77" t="s">
        <v>9</v>
      </c>
      <c r="D62" s="68"/>
      <c r="E62" s="69"/>
      <c r="F62" s="63" t="s">
        <v>125</v>
      </c>
    </row>
    <row r="63" spans="1:7" ht="16" customHeight="1">
      <c r="A63" s="60" t="s">
        <v>40</v>
      </c>
      <c r="B63" s="60" t="s">
        <v>150</v>
      </c>
      <c r="C63" s="77" t="s">
        <v>9</v>
      </c>
      <c r="D63" s="68" t="s">
        <v>10</v>
      </c>
      <c r="E63" s="69"/>
      <c r="F63" s="63" t="s">
        <v>40</v>
      </c>
    </row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</sheetData>
  <autoFilter ref="A2:F61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0" ht="16.5" customHeight="1">
      <c r="A2" s="3" t="s">
        <v>0</v>
      </c>
      <c r="B2" s="3" t="s">
        <v>1</v>
      </c>
      <c r="C2" s="4" t="s">
        <v>152</v>
      </c>
      <c r="D2" s="4" t="s">
        <v>153</v>
      </c>
      <c r="E2" s="5" t="s">
        <v>154</v>
      </c>
      <c r="F2" s="4" t="s">
        <v>155</v>
      </c>
      <c r="G2" s="4" t="s">
        <v>156</v>
      </c>
      <c r="H2" s="4" t="s">
        <v>157</v>
      </c>
      <c r="I2" s="4" t="s">
        <v>158</v>
      </c>
      <c r="J2" s="4" t="s">
        <v>159</v>
      </c>
      <c r="K2" s="4" t="s">
        <v>160</v>
      </c>
      <c r="L2" s="4" t="s">
        <v>161</v>
      </c>
      <c r="M2" s="4" t="s">
        <v>162</v>
      </c>
      <c r="N2" s="4" t="s">
        <v>163</v>
      </c>
      <c r="O2" s="4" t="s">
        <v>164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2" ht="16.5" customHeight="1">
      <c r="A2" s="18" t="s">
        <v>0</v>
      </c>
      <c r="B2" s="18" t="s">
        <v>1</v>
      </c>
      <c r="C2" s="19" t="s">
        <v>152</v>
      </c>
      <c r="D2" s="19" t="s">
        <v>153</v>
      </c>
      <c r="E2" s="20" t="s">
        <v>154</v>
      </c>
      <c r="F2" s="19" t="s">
        <v>155</v>
      </c>
      <c r="G2" s="19" t="s">
        <v>156</v>
      </c>
      <c r="H2" s="19" t="s">
        <v>157</v>
      </c>
      <c r="I2" s="19" t="s">
        <v>158</v>
      </c>
      <c r="J2" s="19" t="s">
        <v>159</v>
      </c>
      <c r="K2" s="19" t="s">
        <v>160</v>
      </c>
      <c r="L2" s="19" t="s">
        <v>161</v>
      </c>
      <c r="M2" s="19" t="s">
        <v>162</v>
      </c>
      <c r="N2" s="19" t="s">
        <v>163</v>
      </c>
      <c r="O2" s="19" t="s">
        <v>164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166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130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167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168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167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168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169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170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171</v>
      </c>
    </row>
    <row r="33" spans="1:5" ht="16.5" customHeight="1">
      <c r="A33" s="31" t="s">
        <v>40</v>
      </c>
      <c r="B33" s="32" t="s">
        <v>136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172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137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138</v>
      </c>
      <c r="C45" s="42" t="s">
        <v>9</v>
      </c>
      <c r="D45" s="46" t="s">
        <v>169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169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139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140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141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142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143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144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173</v>
      </c>
      <c r="E1" s="23" t="s">
        <v>174</v>
      </c>
      <c r="F1" s="23" t="s">
        <v>175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176</v>
      </c>
      <c r="C2" s="24" t="s">
        <v>177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176</v>
      </c>
      <c r="I2" s="23">
        <v>7</v>
      </c>
    </row>
    <row r="3" spans="1:9" ht="15" customHeight="1">
      <c r="A3" s="24">
        <v>2</v>
      </c>
      <c r="B3" s="24" t="s">
        <v>176</v>
      </c>
      <c r="C3" s="24" t="s">
        <v>18</v>
      </c>
      <c r="D3" s="24" t="s">
        <v>9</v>
      </c>
      <c r="E3" s="23" t="s">
        <v>77</v>
      </c>
      <c r="H3" s="23" t="s">
        <v>178</v>
      </c>
      <c r="I3" s="23">
        <v>6</v>
      </c>
    </row>
    <row r="4" spans="1:9" ht="15" customHeight="1">
      <c r="A4" s="24">
        <v>3</v>
      </c>
      <c r="B4" s="24" t="s">
        <v>176</v>
      </c>
      <c r="C4" s="24" t="s">
        <v>27</v>
      </c>
      <c r="D4" s="24" t="s">
        <v>9</v>
      </c>
      <c r="E4" s="23" t="s">
        <v>128</v>
      </c>
      <c r="F4" s="23" t="s">
        <v>53</v>
      </c>
      <c r="H4" s="23" t="s">
        <v>179</v>
      </c>
      <c r="I4" s="23">
        <v>8</v>
      </c>
    </row>
    <row r="5" spans="1:9" ht="15" customHeight="1">
      <c r="A5" s="24">
        <v>4</v>
      </c>
      <c r="B5" s="24" t="s">
        <v>176</v>
      </c>
      <c r="C5" s="24" t="s">
        <v>180</v>
      </c>
      <c r="D5" s="24" t="s">
        <v>9</v>
      </c>
      <c r="E5" s="23" t="s">
        <v>128</v>
      </c>
      <c r="F5" s="23" t="s">
        <v>181</v>
      </c>
      <c r="G5" s="23" t="s">
        <v>10</v>
      </c>
      <c r="H5" s="23" t="s">
        <v>182</v>
      </c>
      <c r="I5" s="23">
        <v>8</v>
      </c>
    </row>
    <row r="6" spans="1:9" ht="15" customHeight="1">
      <c r="A6" s="24">
        <v>5</v>
      </c>
      <c r="B6" s="24" t="s">
        <v>176</v>
      </c>
      <c r="C6" s="24" t="s">
        <v>183</v>
      </c>
      <c r="D6" s="24" t="s">
        <v>9</v>
      </c>
      <c r="F6" s="23" t="s">
        <v>184</v>
      </c>
      <c r="H6" s="23" t="s">
        <v>185</v>
      </c>
      <c r="I6" s="23">
        <v>4</v>
      </c>
    </row>
    <row r="7" spans="1:9" ht="15" customHeight="1">
      <c r="A7" s="24">
        <v>6</v>
      </c>
      <c r="B7" s="24" t="s">
        <v>176</v>
      </c>
      <c r="C7" s="24" t="s">
        <v>186</v>
      </c>
      <c r="D7" s="25"/>
      <c r="E7" s="23" t="s">
        <v>187</v>
      </c>
      <c r="H7" s="23" t="s">
        <v>188</v>
      </c>
      <c r="I7" s="23">
        <v>3</v>
      </c>
    </row>
    <row r="8" spans="1:9" ht="15" customHeight="1">
      <c r="A8" s="24">
        <v>7</v>
      </c>
      <c r="B8" s="24" t="s">
        <v>176</v>
      </c>
      <c r="C8" s="24" t="s">
        <v>189</v>
      </c>
      <c r="D8" s="24" t="s">
        <v>9</v>
      </c>
      <c r="E8" s="23" t="s">
        <v>187</v>
      </c>
      <c r="F8" s="23" t="s">
        <v>190</v>
      </c>
    </row>
    <row r="9" spans="1:9" ht="15" customHeight="1">
      <c r="A9" s="24">
        <v>8</v>
      </c>
      <c r="B9" s="24" t="s">
        <v>176</v>
      </c>
      <c r="C9" s="26" t="s">
        <v>191</v>
      </c>
      <c r="D9" s="24" t="s">
        <v>9</v>
      </c>
      <c r="F9" s="23" t="s">
        <v>192</v>
      </c>
    </row>
    <row r="10" spans="1:9" ht="15" customHeight="1">
      <c r="A10" s="24">
        <v>1</v>
      </c>
      <c r="B10" s="24" t="s">
        <v>178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178</v>
      </c>
      <c r="C11" s="24" t="s">
        <v>50</v>
      </c>
      <c r="D11" s="24" t="s">
        <v>9</v>
      </c>
      <c r="E11" s="23" t="s">
        <v>53</v>
      </c>
      <c r="F11" s="23" t="s">
        <v>193</v>
      </c>
    </row>
    <row r="12" spans="1:9" ht="15" customHeight="1">
      <c r="A12" s="24">
        <v>3</v>
      </c>
      <c r="B12" s="24" t="s">
        <v>178</v>
      </c>
      <c r="C12" s="24" t="s">
        <v>54</v>
      </c>
      <c r="D12" s="24" t="s">
        <v>9</v>
      </c>
      <c r="F12" s="23" t="s">
        <v>128</v>
      </c>
    </row>
    <row r="13" spans="1:9" ht="15" customHeight="1">
      <c r="A13" s="24">
        <v>4</v>
      </c>
      <c r="B13" s="24" t="s">
        <v>178</v>
      </c>
      <c r="C13" s="24" t="s">
        <v>44</v>
      </c>
      <c r="D13" s="24" t="s">
        <v>9</v>
      </c>
      <c r="F13" s="23" t="s">
        <v>194</v>
      </c>
      <c r="G13" s="23" t="s">
        <v>10</v>
      </c>
    </row>
    <row r="14" spans="1:9" ht="15" customHeight="1">
      <c r="A14" s="24">
        <v>5</v>
      </c>
      <c r="B14" s="24" t="s">
        <v>178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178</v>
      </c>
      <c r="C15" s="24" t="s">
        <v>41</v>
      </c>
      <c r="D15" s="24" t="s">
        <v>9</v>
      </c>
      <c r="F15" s="23" t="s">
        <v>195</v>
      </c>
      <c r="G15" s="23" t="s">
        <v>88</v>
      </c>
    </row>
    <row r="16" spans="1:9" ht="15" customHeight="1">
      <c r="A16" s="24">
        <v>1</v>
      </c>
      <c r="B16" s="24" t="s">
        <v>179</v>
      </c>
      <c r="C16" s="24" t="s">
        <v>58</v>
      </c>
      <c r="D16" s="24" t="s">
        <v>9</v>
      </c>
      <c r="F16" s="23" t="s">
        <v>196</v>
      </c>
    </row>
    <row r="17" spans="1:7" ht="15.75" customHeight="1">
      <c r="A17" s="24">
        <v>2</v>
      </c>
      <c r="B17" s="24" t="s">
        <v>179</v>
      </c>
      <c r="C17" s="24" t="s">
        <v>67</v>
      </c>
      <c r="D17" s="24" t="s">
        <v>9</v>
      </c>
      <c r="E17" s="23" t="s">
        <v>66</v>
      </c>
      <c r="F17" s="23" t="s">
        <v>197</v>
      </c>
      <c r="G17" s="23" t="s">
        <v>53</v>
      </c>
    </row>
    <row r="18" spans="1:7" ht="15" customHeight="1">
      <c r="A18" s="24">
        <v>3</v>
      </c>
      <c r="B18" s="24" t="s">
        <v>179</v>
      </c>
      <c r="C18" s="24" t="s">
        <v>74</v>
      </c>
      <c r="D18" s="24" t="s">
        <v>9</v>
      </c>
      <c r="E18" s="23" t="s">
        <v>187</v>
      </c>
      <c r="F18" s="23" t="s">
        <v>168</v>
      </c>
      <c r="G18" s="23" t="s">
        <v>59</v>
      </c>
    </row>
    <row r="19" spans="1:7" ht="15" customHeight="1">
      <c r="A19" s="24">
        <v>4</v>
      </c>
      <c r="B19" s="24" t="s">
        <v>179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179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179</v>
      </c>
      <c r="C21" s="24" t="s">
        <v>60</v>
      </c>
      <c r="D21" s="24" t="s">
        <v>9</v>
      </c>
      <c r="E21" s="23" t="s">
        <v>198</v>
      </c>
      <c r="F21" s="23" t="s">
        <v>28</v>
      </c>
    </row>
    <row r="22" spans="1:7" ht="15" customHeight="1">
      <c r="A22" s="24">
        <v>7</v>
      </c>
      <c r="B22" s="24" t="s">
        <v>179</v>
      </c>
      <c r="C22" s="24" t="s">
        <v>65</v>
      </c>
      <c r="D22" s="24" t="s">
        <v>9</v>
      </c>
      <c r="E22" s="23" t="s">
        <v>115</v>
      </c>
      <c r="F22" s="23" t="s">
        <v>199</v>
      </c>
    </row>
    <row r="23" spans="1:7" ht="15" customHeight="1">
      <c r="A23" s="24">
        <v>8</v>
      </c>
      <c r="B23" s="24" t="s">
        <v>179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182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182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182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182</v>
      </c>
      <c r="C27" s="24" t="s">
        <v>102</v>
      </c>
      <c r="D27" s="24" t="s">
        <v>9</v>
      </c>
      <c r="E27" s="23" t="s">
        <v>10</v>
      </c>
      <c r="F27" s="23" t="s">
        <v>200</v>
      </c>
    </row>
    <row r="28" spans="1:7" ht="15" customHeight="1">
      <c r="A28" s="24">
        <v>5</v>
      </c>
      <c r="B28" s="24" t="s">
        <v>182</v>
      </c>
      <c r="C28" s="24" t="s">
        <v>87</v>
      </c>
      <c r="D28" s="24" t="s">
        <v>9</v>
      </c>
      <c r="E28" s="23" t="s">
        <v>59</v>
      </c>
      <c r="F28" s="23" t="s">
        <v>197</v>
      </c>
    </row>
    <row r="29" spans="1:7" ht="15" customHeight="1">
      <c r="A29" s="24">
        <v>6</v>
      </c>
      <c r="B29" s="24" t="s">
        <v>182</v>
      </c>
      <c r="C29" s="24" t="s">
        <v>101</v>
      </c>
      <c r="D29" s="24" t="s">
        <v>9</v>
      </c>
      <c r="F29" s="23" t="s">
        <v>201</v>
      </c>
      <c r="G29" s="23" t="s">
        <v>10</v>
      </c>
    </row>
    <row r="30" spans="1:7" ht="15.75" customHeight="1">
      <c r="A30" s="24">
        <v>7</v>
      </c>
      <c r="B30" s="24" t="s">
        <v>182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182</v>
      </c>
      <c r="C31" s="24" t="s">
        <v>91</v>
      </c>
      <c r="D31" s="24" t="s">
        <v>9</v>
      </c>
      <c r="E31" s="23" t="s">
        <v>202</v>
      </c>
      <c r="F31" s="23" t="s">
        <v>66</v>
      </c>
    </row>
    <row r="32" spans="1:7" ht="15" customHeight="1">
      <c r="A32" s="24">
        <v>1</v>
      </c>
      <c r="B32" s="24" t="s">
        <v>185</v>
      </c>
      <c r="C32" s="24" t="s">
        <v>107</v>
      </c>
      <c r="D32" s="24" t="s">
        <v>9</v>
      </c>
      <c r="F32" s="23" t="s">
        <v>203</v>
      </c>
      <c r="G32" s="23" t="s">
        <v>59</v>
      </c>
    </row>
    <row r="33" spans="1:7" ht="15" customHeight="1">
      <c r="A33" s="24">
        <v>2</v>
      </c>
      <c r="B33" s="24" t="s">
        <v>185</v>
      </c>
      <c r="C33" s="24" t="s">
        <v>110</v>
      </c>
      <c r="D33" s="24" t="s">
        <v>9</v>
      </c>
      <c r="F33" s="23" t="s">
        <v>204</v>
      </c>
      <c r="G33" s="23" t="s">
        <v>59</v>
      </c>
    </row>
    <row r="34" spans="1:7" ht="15" customHeight="1">
      <c r="A34" s="24">
        <v>3</v>
      </c>
      <c r="B34" s="24" t="s">
        <v>185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185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188</v>
      </c>
      <c r="C36" s="24" t="s">
        <v>78</v>
      </c>
      <c r="D36" s="24" t="s">
        <v>9</v>
      </c>
      <c r="E36" s="23" t="s">
        <v>77</v>
      </c>
      <c r="F36" s="23" t="s">
        <v>205</v>
      </c>
    </row>
    <row r="37" spans="1:7" ht="15" customHeight="1">
      <c r="A37" s="24">
        <v>2</v>
      </c>
      <c r="B37" s="24" t="s">
        <v>188</v>
      </c>
      <c r="C37" s="24" t="s">
        <v>83</v>
      </c>
      <c r="D37" s="24" t="s">
        <v>9</v>
      </c>
      <c r="E37" s="23" t="s">
        <v>187</v>
      </c>
      <c r="F37" s="23" t="s">
        <v>206</v>
      </c>
      <c r="G37" s="23" t="s">
        <v>59</v>
      </c>
    </row>
    <row r="38" spans="1:7" ht="15" customHeight="1">
      <c r="A38" s="24">
        <v>3</v>
      </c>
      <c r="B38" s="24" t="s">
        <v>188</v>
      </c>
      <c r="C38" s="24" t="s">
        <v>81</v>
      </c>
      <c r="D38" s="24" t="s">
        <v>9</v>
      </c>
      <c r="F38" s="23" t="s">
        <v>207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2026-07-08T01:17:00Z</dcterms:modified>
</cp:coreProperties>
</file>