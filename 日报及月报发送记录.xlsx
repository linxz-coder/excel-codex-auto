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F32E69DA-7B0C-B44E-9901-1002912BBBCE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旧表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5" l="1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T14" i="4"/>
  <c r="V14" i="4" s="1"/>
  <c r="O14" i="4"/>
  <c r="T13" i="4"/>
  <c r="O13" i="4"/>
  <c r="T12" i="4"/>
  <c r="O12" i="4"/>
  <c r="T11" i="4"/>
  <c r="V11" i="4" s="1"/>
  <c r="O11" i="4"/>
  <c r="T10" i="4"/>
  <c r="V10" i="4" s="1"/>
  <c r="O10" i="4"/>
  <c r="T9" i="4"/>
  <c r="O9" i="4"/>
  <c r="T8" i="4"/>
  <c r="O8" i="4"/>
  <c r="T7" i="4"/>
  <c r="V7" i="4" s="1"/>
  <c r="O7" i="4"/>
  <c r="T6" i="4"/>
  <c r="V6" i="4" s="1"/>
  <c r="O6" i="4"/>
  <c r="V5" i="4"/>
  <c r="T5" i="4"/>
  <c r="O5" i="4"/>
  <c r="T4" i="4"/>
  <c r="O4" i="4"/>
  <c r="T3" i="4"/>
  <c r="V3" i="4" s="1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T2" i="3" s="1"/>
  <c r="O3" i="3"/>
  <c r="H14" i="2"/>
  <c r="K13" i="2"/>
  <c r="H13" i="2"/>
  <c r="K12" i="2"/>
  <c r="H12" i="2"/>
  <c r="K11" i="2"/>
  <c r="M5" i="2" s="1"/>
  <c r="H11" i="2"/>
  <c r="K10" i="2"/>
  <c r="H10" i="2"/>
  <c r="K9" i="2"/>
  <c r="M4" i="2" s="1"/>
  <c r="H9" i="2"/>
  <c r="K8" i="2"/>
  <c r="H8" i="2"/>
  <c r="K7" i="2"/>
  <c r="H7" i="2"/>
  <c r="M6" i="2"/>
  <c r="K6" i="2"/>
  <c r="H6" i="2"/>
  <c r="K5" i="2"/>
  <c r="H5" i="2"/>
  <c r="K4" i="2"/>
  <c r="H4" i="2"/>
  <c r="H2" i="2" s="1"/>
  <c r="K3" i="2"/>
  <c r="M3" i="2" s="1"/>
  <c r="H3" i="2"/>
  <c r="K13" i="1"/>
  <c r="M6" i="1" s="1"/>
  <c r="H13" i="1"/>
  <c r="K12" i="1"/>
  <c r="M5" i="1" s="1"/>
  <c r="H12" i="1"/>
  <c r="K11" i="1"/>
  <c r="M4" i="1" s="1"/>
  <c r="H11" i="1"/>
  <c r="K10" i="1"/>
  <c r="H10" i="1"/>
  <c r="K9" i="1"/>
  <c r="H9" i="1"/>
  <c r="K8" i="1"/>
  <c r="H8" i="1"/>
  <c r="K7" i="1"/>
  <c r="H7" i="1"/>
  <c r="K6" i="1"/>
  <c r="M3" i="1" s="1"/>
  <c r="H6" i="1"/>
  <c r="K5" i="1"/>
  <c r="H5" i="1"/>
  <c r="K4" i="1"/>
  <c r="H4" i="1"/>
  <c r="K3" i="1"/>
  <c r="M2" i="1" s="1"/>
  <c r="H3" i="1"/>
  <c r="K2" i="1"/>
  <c r="K1" i="1" s="1"/>
  <c r="H2" i="1"/>
  <c r="H1" i="1" s="1"/>
  <c r="T2" i="4" l="1"/>
  <c r="K2" i="2"/>
</calcChain>
</file>

<file path=xl/sharedStrings.xml><?xml version="1.0" encoding="utf-8"?>
<sst xmlns="http://schemas.openxmlformats.org/spreadsheetml/2006/main" count="935" uniqueCount="190">
  <si>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</si>
  <si>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</si>
  <si>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</si>
  <si>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</si>
  <si>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</si>
  <si>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</si>
  <si>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</si>
  <si>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</si>
  <si>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</si>
  <si>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</si>
  <si>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</si>
  <si>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</si>
  <si>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</si>
  <si>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</si>
  <si>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</si>
  <si>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</si>
  <si>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</si>
  <si>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</si>
  <si>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</si>
  <si>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</si>
  <si>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</si>
  <si>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</si>
  <si>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</si>
  <si>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</si>
  <si>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</si>
  <si>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</si>
  <si>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</si>
  <si>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</si>
  <si>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</si>
  <si>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</si>
  <si>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</si>
  <si>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</si>
  <si>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</si>
  <si>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</si>
  <si>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</si>
  <si>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</si>
  <si>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</si>
  <si>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</si>
  <si>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</si>
  <si>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</si>
  <si>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</si>
  <si>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</si>
  <si>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</si>
  <si>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</si>
  <si>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</si>
  <si>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</si>
  <si>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</si>
  <si>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</si>
  <si>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</si>
  <si>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</si>
  <si>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</si>
  <si>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</si>
  <si>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</si>
  <si>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</si>
  <si>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</si>
  <si>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</si>
  <si>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</si>
  <si>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</si>
  <si>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</si>
  <si>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</si>
  <si>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</si>
  <si>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</si>
  <si>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</si>
  <si>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</si>
  <si>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</si>
  <si>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</si>
  <si>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</si>
  <si>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</si>
  <si>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</si>
  <si>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</si>
  <si>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</si>
  <si>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</si>
  <si>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</si>
  <si>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</si>
  <si>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</si>
  <si>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</si>
  <si>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</si>
  <si>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</si>
  <si>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</si>
  <si>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</si>
  <si>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</si>
  <si>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</si>
  <si>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</si>
  <si>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</si>
  <si>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</si>
  <si>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</si>
  <si>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</si>
  <si>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</si>
  <si>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</si>
  <si>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</si>
  <si>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</si>
  <si>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</si>
  <si>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</si>
  <si>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</si>
  <si>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</si>
  <si>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</si>
  <si>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</si>
  <si>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</si>
  <si>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</si>
  <si>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</si>
  <si>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</si>
  <si>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</si>
  <si>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</si>
  <si>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</si>
  <si>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</si>
  <si>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</si>
  <si>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</si>
  <si>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</si>
  <si>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</si>
  <si>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</si>
  <si>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</si>
  <si>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</si>
  <si>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</si>
  <si>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</si>
  <si>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</si>
  <si>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</si>
  <si>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</si>
  <si>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</si>
  <si>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</si>
  <si>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</si>
  <si>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</si>
  <si>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</si>
  <si>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</si>
  <si>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</si>
  <si>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累计未发4次</t>
  </si>
  <si>
    <t>累计未发4次，迟发1次</t>
  </si>
  <si>
    <t>累计迟发2次</t>
  </si>
  <si>
    <t>累计未发3次，迟发3次</t>
  </si>
  <si>
    <t>请病假4天</t>
  </si>
  <si>
    <t>宁波鄞州中心</t>
  </si>
  <si>
    <t>西安未央中心</t>
  </si>
  <si>
    <t>北京房山中心</t>
  </si>
  <si>
    <t>石家庄桥西中心</t>
  </si>
  <si>
    <t>厦门思明中心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</si>
  <si>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</si>
  <si>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</si>
  <si>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</si>
  <si>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</si>
  <si>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</si>
  <si>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</si>
  <si>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</si>
  <si>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</si>
  <si>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</si>
  <si>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</si>
  <si>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</si>
  <si>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</si>
  <si>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</si>
  <si>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</si>
  <si>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</si>
  <si>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合肥包河中心</t>
  </si>
  <si>
    <t>华南分公司</t>
  </si>
  <si>
    <t>华东分公司</t>
  </si>
  <si>
    <t>华北分公司</t>
  </si>
  <si>
    <t>是否提交日报</t>
  </si>
  <si>
    <t>2023年</t>
  </si>
  <si>
    <t>2024年</t>
  </si>
  <si>
    <t>一区</t>
  </si>
  <si>
    <t>深圳杨美中心</t>
  </si>
  <si>
    <t>二区</t>
  </si>
  <si>
    <t>迟发1次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</si>
  <si>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</si>
  <si>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</si>
  <si>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</si>
  <si>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</si>
  <si>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</si>
  <si>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</si>
  <si>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</si>
  <si>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</si>
  <si>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</si>
  <si>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</si>
  <si>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</si>
  <si>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</si>
  <si>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</si>
  <si>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</si>
  <si>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</si>
  <si>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</si>
  <si>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</si>
  <si>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</si>
  <si>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</si>
  <si>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累计未发1次，迟发3次</t>
  </si>
  <si>
    <t>累计未发1次，迟发5次</t>
  </si>
  <si>
    <t>累计未发10次</t>
  </si>
  <si>
    <t>(换主任前)未发2次，累计未发2次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</si>
  <si>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</si>
  <si>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</si>
  <si>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</si>
  <si>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</si>
  <si>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</si>
  <si>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</si>
  <si>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累计未发1次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</si>
</sst>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1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</borders>
  <cellStyleXfs count="1">
    <xf numFmtId="0" fontId="0" fillId="7" borderId="7">
      <alignment vertical="center"/>
    </xf>
  </cellStyleXfs>
  <cellXfs count="58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  <xf numFmtId="0" fontId="9" fillId="2" borderId="4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M53"/>
  <sheetViews>
    <sheetView tabSelected="1" topLeftCell="A5" workbookViewId="0">
      <selection activeCell="D23" sqref="D23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46108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51</v>
      </c>
      <c r="J2" s="22" t="s">
        <v>6</v>
      </c>
      <c r="K2" s="24">
        <f>SUM(K3:K107)</f>
        <v>51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5</v>
      </c>
      <c r="J3" s="31" t="s">
        <v>7</v>
      </c>
      <c r="K3" s="23">
        <f t="shared" ref="K3:K12" si="1">COUNTIFS($A:$A,$G3,$C:$C,"&lt;&gt;新中心")</f>
        <v>5</v>
      </c>
      <c r="L3" s="34" t="s">
        <v>12</v>
      </c>
      <c r="M3" s="35">
        <f>SUM(K3:K6)</f>
        <v>17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16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15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124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88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5</v>
      </c>
      <c r="J10" s="31" t="s">
        <v>40</v>
      </c>
      <c r="K10" s="23">
        <f t="shared" si="1"/>
        <v>5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4</v>
      </c>
      <c r="J12" s="31" t="s">
        <v>45</v>
      </c>
      <c r="K12" s="23">
        <f t="shared" si="1"/>
        <v>4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124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7" t="s">
        <v>189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/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125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10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126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127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128</v>
      </c>
    </row>
    <row r="33" spans="1:5" ht="16.5" customHeight="1">
      <c r="A33" s="31" t="s">
        <v>40</v>
      </c>
      <c r="B33" s="32" t="s">
        <v>129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42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130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131</v>
      </c>
      <c r="C45" s="42" t="s">
        <v>9</v>
      </c>
      <c r="D45" s="46" t="s">
        <v>126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126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/>
    </row>
    <row r="49" spans="1:5" ht="16.5" customHeight="1">
      <c r="A49" s="31" t="s">
        <v>45</v>
      </c>
      <c r="B49" s="44" t="s">
        <v>132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133</v>
      </c>
      <c r="C53" s="50" t="s">
        <v>9</v>
      </c>
      <c r="D53" s="33" t="s">
        <v>59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54" t="s">
        <v>134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6"/>
      <c r="S1" s="1"/>
      <c r="T1" s="2"/>
    </row>
    <row r="2" spans="1:20" ht="16.5" customHeight="1">
      <c r="A2" s="3" t="s">
        <v>0</v>
      </c>
      <c r="B2" s="3" t="s">
        <v>1</v>
      </c>
      <c r="C2" s="4" t="s">
        <v>135</v>
      </c>
      <c r="D2" s="4" t="s">
        <v>136</v>
      </c>
      <c r="E2" s="5" t="s">
        <v>137</v>
      </c>
      <c r="F2" s="4" t="s">
        <v>138</v>
      </c>
      <c r="G2" s="4" t="s">
        <v>139</v>
      </c>
      <c r="H2" s="4" t="s">
        <v>140</v>
      </c>
      <c r="I2" s="4" t="s">
        <v>141</v>
      </c>
      <c r="J2" s="4" t="s">
        <v>142</v>
      </c>
      <c r="K2" s="4" t="s">
        <v>143</v>
      </c>
      <c r="L2" s="4" t="s">
        <v>144</v>
      </c>
      <c r="M2" s="4" t="s">
        <v>145</v>
      </c>
      <c r="N2" s="4" t="s">
        <v>146</v>
      </c>
      <c r="O2" s="4" t="s">
        <v>147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133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148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149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54" t="s">
        <v>134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6"/>
      <c r="S1" s="1"/>
      <c r="T1" s="2"/>
    </row>
    <row r="2" spans="1:22" ht="16.5" customHeight="1">
      <c r="A2" s="18" t="s">
        <v>0</v>
      </c>
      <c r="B2" s="18" t="s">
        <v>1</v>
      </c>
      <c r="C2" s="19" t="s">
        <v>135</v>
      </c>
      <c r="D2" s="19" t="s">
        <v>136</v>
      </c>
      <c r="E2" s="20" t="s">
        <v>137</v>
      </c>
      <c r="F2" s="19" t="s">
        <v>138</v>
      </c>
      <c r="G2" s="19" t="s">
        <v>139</v>
      </c>
      <c r="H2" s="19" t="s">
        <v>140</v>
      </c>
      <c r="I2" s="19" t="s">
        <v>141</v>
      </c>
      <c r="J2" s="19" t="s">
        <v>142</v>
      </c>
      <c r="K2" s="19" t="s">
        <v>143</v>
      </c>
      <c r="L2" s="19" t="s">
        <v>144</v>
      </c>
      <c r="M2" s="19" t="s">
        <v>145</v>
      </c>
      <c r="N2" s="19" t="s">
        <v>146</v>
      </c>
      <c r="O2" s="19" t="s">
        <v>147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150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151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133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152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148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149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153</v>
      </c>
      <c r="E1" s="23" t="s">
        <v>154</v>
      </c>
      <c r="F1" s="23" t="s">
        <v>155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156</v>
      </c>
      <c r="C2" s="24" t="s">
        <v>157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156</v>
      </c>
      <c r="I2" s="23">
        <v>7</v>
      </c>
    </row>
    <row r="3" spans="1:9" ht="15" customHeight="1">
      <c r="A3" s="24">
        <v>2</v>
      </c>
      <c r="B3" s="24" t="s">
        <v>156</v>
      </c>
      <c r="C3" s="24" t="s">
        <v>18</v>
      </c>
      <c r="D3" s="24" t="s">
        <v>9</v>
      </c>
      <c r="E3" s="23" t="s">
        <v>77</v>
      </c>
      <c r="H3" s="23" t="s">
        <v>158</v>
      </c>
      <c r="I3" s="23">
        <v>6</v>
      </c>
    </row>
    <row r="4" spans="1:9" ht="15" customHeight="1">
      <c r="A4" s="24">
        <v>3</v>
      </c>
      <c r="B4" s="24" t="s">
        <v>156</v>
      </c>
      <c r="C4" s="24" t="s">
        <v>27</v>
      </c>
      <c r="D4" s="24" t="s">
        <v>9</v>
      </c>
      <c r="E4" s="23" t="s">
        <v>159</v>
      </c>
      <c r="F4" s="23" t="s">
        <v>53</v>
      </c>
      <c r="H4" s="23" t="s">
        <v>160</v>
      </c>
      <c r="I4" s="23">
        <v>8</v>
      </c>
    </row>
    <row r="5" spans="1:9" ht="15" customHeight="1">
      <c r="A5" s="24">
        <v>4</v>
      </c>
      <c r="B5" s="24" t="s">
        <v>156</v>
      </c>
      <c r="C5" s="24" t="s">
        <v>161</v>
      </c>
      <c r="D5" s="24" t="s">
        <v>9</v>
      </c>
      <c r="E5" s="23" t="s">
        <v>159</v>
      </c>
      <c r="F5" s="23" t="s">
        <v>162</v>
      </c>
      <c r="G5" s="23" t="s">
        <v>10</v>
      </c>
      <c r="H5" s="23" t="s">
        <v>163</v>
      </c>
      <c r="I5" s="23">
        <v>8</v>
      </c>
    </row>
    <row r="6" spans="1:9" ht="15" customHeight="1">
      <c r="A6" s="24">
        <v>5</v>
      </c>
      <c r="B6" s="24" t="s">
        <v>156</v>
      </c>
      <c r="C6" s="24" t="s">
        <v>164</v>
      </c>
      <c r="D6" s="24" t="s">
        <v>9</v>
      </c>
      <c r="F6" s="23" t="s">
        <v>165</v>
      </c>
      <c r="H6" s="23" t="s">
        <v>166</v>
      </c>
      <c r="I6" s="23">
        <v>4</v>
      </c>
    </row>
    <row r="7" spans="1:9" ht="15" customHeight="1">
      <c r="A7" s="24">
        <v>6</v>
      </c>
      <c r="B7" s="24" t="s">
        <v>156</v>
      </c>
      <c r="C7" s="24" t="s">
        <v>167</v>
      </c>
      <c r="D7" s="25"/>
      <c r="E7" s="23" t="s">
        <v>168</v>
      </c>
      <c r="H7" s="23" t="s">
        <v>169</v>
      </c>
      <c r="I7" s="23">
        <v>3</v>
      </c>
    </row>
    <row r="8" spans="1:9" ht="15" customHeight="1">
      <c r="A8" s="24">
        <v>7</v>
      </c>
      <c r="B8" s="24" t="s">
        <v>156</v>
      </c>
      <c r="C8" s="24" t="s">
        <v>170</v>
      </c>
      <c r="D8" s="24" t="s">
        <v>9</v>
      </c>
      <c r="E8" s="23" t="s">
        <v>168</v>
      </c>
      <c r="F8" s="23" t="s">
        <v>171</v>
      </c>
    </row>
    <row r="9" spans="1:9" ht="15" customHeight="1">
      <c r="A9" s="24">
        <v>8</v>
      </c>
      <c r="B9" s="24" t="s">
        <v>156</v>
      </c>
      <c r="C9" s="26" t="s">
        <v>172</v>
      </c>
      <c r="D9" s="24" t="s">
        <v>9</v>
      </c>
      <c r="F9" s="23" t="s">
        <v>173</v>
      </c>
    </row>
    <row r="10" spans="1:9" ht="15" customHeight="1">
      <c r="A10" s="24">
        <v>1</v>
      </c>
      <c r="B10" s="24" t="s">
        <v>158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158</v>
      </c>
      <c r="C11" s="24" t="s">
        <v>50</v>
      </c>
      <c r="D11" s="24" t="s">
        <v>9</v>
      </c>
      <c r="E11" s="23" t="s">
        <v>53</v>
      </c>
      <c r="F11" s="23" t="s">
        <v>174</v>
      </c>
    </row>
    <row r="12" spans="1:9" ht="15" customHeight="1">
      <c r="A12" s="24">
        <v>3</v>
      </c>
      <c r="B12" s="24" t="s">
        <v>158</v>
      </c>
      <c r="C12" s="24" t="s">
        <v>54</v>
      </c>
      <c r="D12" s="24" t="s">
        <v>9</v>
      </c>
      <c r="F12" s="23" t="s">
        <v>159</v>
      </c>
    </row>
    <row r="13" spans="1:9" ht="15" customHeight="1">
      <c r="A13" s="24">
        <v>4</v>
      </c>
      <c r="B13" s="24" t="s">
        <v>158</v>
      </c>
      <c r="C13" s="24" t="s">
        <v>44</v>
      </c>
      <c r="D13" s="24" t="s">
        <v>9</v>
      </c>
      <c r="F13" s="23" t="s">
        <v>175</v>
      </c>
      <c r="G13" s="23" t="s">
        <v>10</v>
      </c>
    </row>
    <row r="14" spans="1:9" ht="15" customHeight="1">
      <c r="A14" s="24">
        <v>5</v>
      </c>
      <c r="B14" s="24" t="s">
        <v>158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158</v>
      </c>
      <c r="C15" s="24" t="s">
        <v>41</v>
      </c>
      <c r="D15" s="24" t="s">
        <v>9</v>
      </c>
      <c r="F15" s="23" t="s">
        <v>176</v>
      </c>
      <c r="G15" s="23" t="s">
        <v>88</v>
      </c>
    </row>
    <row r="16" spans="1:9" ht="15" customHeight="1">
      <c r="A16" s="24">
        <v>1</v>
      </c>
      <c r="B16" s="24" t="s">
        <v>160</v>
      </c>
      <c r="C16" s="24" t="s">
        <v>58</v>
      </c>
      <c r="D16" s="24" t="s">
        <v>9</v>
      </c>
      <c r="F16" s="23" t="s">
        <v>177</v>
      </c>
    </row>
    <row r="17" spans="1:7" ht="15.75" customHeight="1">
      <c r="A17" s="24">
        <v>2</v>
      </c>
      <c r="B17" s="24" t="s">
        <v>160</v>
      </c>
      <c r="C17" s="24" t="s">
        <v>67</v>
      </c>
      <c r="D17" s="24" t="s">
        <v>9</v>
      </c>
      <c r="E17" s="23" t="s">
        <v>66</v>
      </c>
      <c r="F17" s="23" t="s">
        <v>178</v>
      </c>
      <c r="G17" s="23" t="s">
        <v>53</v>
      </c>
    </row>
    <row r="18" spans="1:7" ht="15" customHeight="1">
      <c r="A18" s="24">
        <v>3</v>
      </c>
      <c r="B18" s="24" t="s">
        <v>160</v>
      </c>
      <c r="C18" s="24" t="s">
        <v>74</v>
      </c>
      <c r="D18" s="24" t="s">
        <v>9</v>
      </c>
      <c r="E18" s="23" t="s">
        <v>168</v>
      </c>
      <c r="F18" s="23" t="s">
        <v>179</v>
      </c>
      <c r="G18" s="23" t="s">
        <v>59</v>
      </c>
    </row>
    <row r="19" spans="1:7" ht="15" customHeight="1">
      <c r="A19" s="24">
        <v>4</v>
      </c>
      <c r="B19" s="24" t="s">
        <v>160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160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160</v>
      </c>
      <c r="C21" s="24" t="s">
        <v>60</v>
      </c>
      <c r="D21" s="24" t="s">
        <v>9</v>
      </c>
      <c r="E21" s="23" t="s">
        <v>180</v>
      </c>
      <c r="F21" s="23" t="s">
        <v>28</v>
      </c>
    </row>
    <row r="22" spans="1:7" ht="15" customHeight="1">
      <c r="A22" s="24">
        <v>7</v>
      </c>
      <c r="B22" s="24" t="s">
        <v>160</v>
      </c>
      <c r="C22" s="24" t="s">
        <v>65</v>
      </c>
      <c r="D22" s="24" t="s">
        <v>9</v>
      </c>
      <c r="E22" s="23" t="s">
        <v>115</v>
      </c>
      <c r="F22" s="23" t="s">
        <v>181</v>
      </c>
    </row>
    <row r="23" spans="1:7" ht="15" customHeight="1">
      <c r="A23" s="24">
        <v>8</v>
      </c>
      <c r="B23" s="24" t="s">
        <v>160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163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163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163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163</v>
      </c>
      <c r="C27" s="24" t="s">
        <v>102</v>
      </c>
      <c r="D27" s="24" t="s">
        <v>9</v>
      </c>
      <c r="E27" s="23" t="s">
        <v>10</v>
      </c>
      <c r="F27" s="23" t="s">
        <v>182</v>
      </c>
    </row>
    <row r="28" spans="1:7" ht="15" customHeight="1">
      <c r="A28" s="24">
        <v>5</v>
      </c>
      <c r="B28" s="24" t="s">
        <v>163</v>
      </c>
      <c r="C28" s="24" t="s">
        <v>87</v>
      </c>
      <c r="D28" s="24" t="s">
        <v>9</v>
      </c>
      <c r="E28" s="23" t="s">
        <v>59</v>
      </c>
      <c r="F28" s="23" t="s">
        <v>178</v>
      </c>
    </row>
    <row r="29" spans="1:7" ht="15" customHeight="1">
      <c r="A29" s="24">
        <v>6</v>
      </c>
      <c r="B29" s="24" t="s">
        <v>163</v>
      </c>
      <c r="C29" s="24" t="s">
        <v>101</v>
      </c>
      <c r="D29" s="24" t="s">
        <v>9</v>
      </c>
      <c r="F29" s="23" t="s">
        <v>125</v>
      </c>
      <c r="G29" s="23" t="s">
        <v>10</v>
      </c>
    </row>
    <row r="30" spans="1:7" ht="15.75" customHeight="1">
      <c r="A30" s="24">
        <v>7</v>
      </c>
      <c r="B30" s="24" t="s">
        <v>163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163</v>
      </c>
      <c r="C31" s="24" t="s">
        <v>91</v>
      </c>
      <c r="D31" s="24" t="s">
        <v>9</v>
      </c>
      <c r="E31" s="23" t="s">
        <v>183</v>
      </c>
      <c r="F31" s="23" t="s">
        <v>66</v>
      </c>
    </row>
    <row r="32" spans="1:7" ht="15" customHeight="1">
      <c r="A32" s="24">
        <v>1</v>
      </c>
      <c r="B32" s="24" t="s">
        <v>166</v>
      </c>
      <c r="C32" s="24" t="s">
        <v>107</v>
      </c>
      <c r="D32" s="24" t="s">
        <v>9</v>
      </c>
      <c r="F32" s="23" t="s">
        <v>184</v>
      </c>
      <c r="G32" s="23" t="s">
        <v>59</v>
      </c>
    </row>
    <row r="33" spans="1:7" ht="15" customHeight="1">
      <c r="A33" s="24">
        <v>2</v>
      </c>
      <c r="B33" s="24" t="s">
        <v>166</v>
      </c>
      <c r="C33" s="24" t="s">
        <v>110</v>
      </c>
      <c r="D33" s="24" t="s">
        <v>9</v>
      </c>
      <c r="F33" s="23" t="s">
        <v>185</v>
      </c>
      <c r="G33" s="23" t="s">
        <v>59</v>
      </c>
    </row>
    <row r="34" spans="1:7" ht="15" customHeight="1">
      <c r="A34" s="24">
        <v>3</v>
      </c>
      <c r="B34" s="24" t="s">
        <v>166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166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169</v>
      </c>
      <c r="C36" s="24" t="s">
        <v>78</v>
      </c>
      <c r="D36" s="24" t="s">
        <v>9</v>
      </c>
      <c r="E36" s="23" t="s">
        <v>77</v>
      </c>
      <c r="F36" s="23" t="s">
        <v>186</v>
      </c>
    </row>
    <row r="37" spans="1:7" ht="15" customHeight="1">
      <c r="A37" s="24">
        <v>2</v>
      </c>
      <c r="B37" s="24" t="s">
        <v>169</v>
      </c>
      <c r="C37" s="24" t="s">
        <v>83</v>
      </c>
      <c r="D37" s="24" t="s">
        <v>9</v>
      </c>
      <c r="E37" s="23" t="s">
        <v>168</v>
      </c>
      <c r="F37" s="23" t="s">
        <v>187</v>
      </c>
      <c r="G37" s="23" t="s">
        <v>59</v>
      </c>
    </row>
    <row r="38" spans="1:7" ht="15" customHeight="1">
      <c r="A38" s="24">
        <v>3</v>
      </c>
      <c r="B38" s="24" t="s">
        <v>169</v>
      </c>
      <c r="C38" s="24" t="s">
        <v>81</v>
      </c>
      <c r="D38" s="24" t="s">
        <v>9</v>
      </c>
      <c r="F38" s="23" t="s">
        <v>188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2025年日报</vt:lpstr>
      <vt:lpstr>2026年日报</vt:lpstr>
      <vt:lpstr>2025月报</vt:lpstr>
      <vt:lpstr>月报(2026)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2026-03-30T00:55:37Z</dcterms:modified>
</cp:coreProperties>
</file>